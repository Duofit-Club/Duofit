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Calc" sheetId="2" state="hidden" r:id="rId4"/>
    <sheet name="Dashboard" sheetId="3" state="visible" r:id="rId5"/>
    <sheet name="Client Inf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<sst xmlns="http://schemas.openxmlformats.org/spreadsheetml/2006/main" count="234" uniqueCount="121">
  <si>
    <t xml:space="preserve">Date</t>
  </si>
  <si>
    <t xml:space="preserve">Week</t>
  </si>
  <si>
    <t xml:space="preserve">Calories Intake</t>
  </si>
  <si>
    <t xml:space="preserve">Calories Burnt</t>
  </si>
  <si>
    <t xml:space="preserve">Net Calories</t>
  </si>
  <si>
    <t xml:space="preserve">Protein (g)</t>
  </si>
  <si>
    <t xml:space="preserve">Carbs (g)</t>
  </si>
  <si>
    <t xml:space="preserve">Fats (g)</t>
  </si>
  <si>
    <t xml:space="preserve">Fiber (g)</t>
  </si>
  <si>
    <t xml:space="preserve">Fiber Rating</t>
  </si>
  <si>
    <t xml:space="preserve">Steps</t>
  </si>
  <si>
    <t xml:space="preserve">Sleep (hrs)</t>
  </si>
  <si>
    <t xml:space="preserve">Energy</t>
  </si>
  <si>
    <t xml:space="preserve">Digestion</t>
  </si>
  <si>
    <t xml:space="preserve">Workout</t>
  </si>
  <si>
    <t xml:space="preserve">Notes</t>
  </si>
  <si>
    <t xml:space="preserve">Start→</t>
  </si>
  <si>
    <t xml:space="preserve">Moderate</t>
  </si>
  <si>
    <t xml:space="preserve">Okay</t>
  </si>
  <si>
    <t xml:space="preserve">Good</t>
  </si>
  <si>
    <t xml:space="preserve">N</t>
  </si>
  <si>
    <t xml:space="preserve">Broad beans, Greek yogurt, Paneer dinner improved protein quality.</t>
  </si>
  <si>
    <t xml:space="preserve">Dip</t>
  </si>
  <si>
    <t xml:space="preserve">Ladies finger, vegetables, yogurt. Low protein overall.</t>
  </si>
  <si>
    <t xml:space="preserve">Chukkakura, boiled chana, vegetables, yogurt.</t>
  </si>
  <si>
    <t xml:space="preserve">Low</t>
  </si>
  <si>
    <t xml:space="preserve">Limited vegetables and protein sources.</t>
  </si>
  <si>
    <t xml:space="preserve">Bhendi, sambar, yogurt. Paneer dinner.</t>
  </si>
  <si>
    <t xml:space="preserve">Oats dosa, rajma, spinach pappu, pumpkin seeds.</t>
  </si>
  <si>
    <t xml:space="preserve">Apple, chana chaat, pesara kattu, pumpkin seeds.</t>
  </si>
  <si>
    <t xml:space="preserve">Black chana, ragi, besan chilla, yogurt.</t>
  </si>
  <si>
    <t xml:space="preserve">Besan chilla, vegetable rice, pumpkin seeds.</t>
  </si>
  <si>
    <t xml:space="preserve">Limited protein and vegetables.</t>
  </si>
  <si>
    <t xml:space="preserve">Greek yogurt, broad beans, lentil rasam.</t>
  </si>
  <si>
    <t xml:space="preserve">Totakura, yogurt.</t>
  </si>
  <si>
    <t xml:space="preserve">Oats dosa, dal, pomegranate, yogurt.</t>
  </si>
  <si>
    <t xml:space="preserve">Apple, pomegranate, yogurt, pumpkin seeds.</t>
  </si>
  <si>
    <t xml:space="preserve">Excellent</t>
  </si>
  <si>
    <t xml:space="preserve">Sattu, Greek yogurt, moong chaat, soy granules.</t>
  </si>
  <si>
    <t xml:space="preserve">Sattu drink with Greek yogurt, dal, totakura and paneer provided excellent protein quality and micronutrients. Dinner higher in fat due to cheese croquettes and biryani.</t>
  </si>
  <si>
    <t xml:space="preserve">Gehun dosa, sattu + Greek yogurt, dal and bhendi improved protein and fiber. Dinner (4 idlis) lacked a dedicated protein source.</t>
  </si>
  <si>
    <t xml:space="preserve">Sattu with buttermilk, dal, chukkakura and besan chilla improved protein and fiber. Lunch provided good micronutrients; dinner was light and could benefit from an additional protein source if hungry.</t>
  </si>
  <si>
    <t xml:space="preserve">Sattu with buttermilk, edamame beans, palak paneer, cabbage, carrot, brinjal and sambar provided excellent fiber, plant protein and micronutrients (iron, folate, calcium). This was one of the strongest nutrition days despite moderate sleep.</t>
  </si>
  <si>
    <t xml:space="preserve">DUOFIT   |   WEEKLY PROGRESS ANALYSIS</t>
  </si>
  <si>
    <t xml:space="preserve">FOCUS AREA 1: SLEEP</t>
  </si>
  <si>
    <t xml:space="preserve">FOCUS AREA 2: NUTRITION</t>
  </si>
  <si>
    <t xml:space="preserve">FOCUS AREA 3: FITNESS</t>
  </si>
  <si>
    <t xml:space="preserve">Average Sleep</t>
  </si>
  <si>
    <t xml:space="preserve">Average Calories</t>
  </si>
  <si>
    <t xml:space="preserve">Average Steps</t>
  </si>
  <si>
    <t xml:space="preserve">hrs</t>
  </si>
  <si>
    <t xml:space="preserve">kcal</t>
  </si>
  <si>
    <t xml:space="preserve">steps</t>
  </si>
  <si>
    <t xml:space="preserve">Daily Sleep Duration (Hours)</t>
  </si>
  <si>
    <t xml:space="preserve">Daily Calorie Intake (Kcal)</t>
  </si>
  <si>
    <t xml:space="preserve">Daily Steps</t>
  </si>
  <si>
    <t xml:space="preserve">SLEEP SUMMARY</t>
  </si>
  <si>
    <t xml:space="preserve">NUTRITION SUMMARY (DAILY AVERAGE)</t>
  </si>
  <si>
    <t xml:space="preserve">FITNESS SUMMARY</t>
  </si>
  <si>
    <t xml:space="preserve">METRIC</t>
  </si>
  <si>
    <t xml:space="preserve">WEEK 1</t>
  </si>
  <si>
    <t xml:space="preserve">WEEK 2</t>
  </si>
  <si>
    <t xml:space="preserve">WEEK 3</t>
  </si>
  <si>
    <t xml:space="preserve">TARGET</t>
  </si>
  <si>
    <t xml:space="preserve">≥ 5.5 hrs</t>
  </si>
  <si>
    <t xml:space="preserve">75 – 85 g</t>
  </si>
  <si>
    <t xml:space="preserve">≥ 7,000 steps</t>
  </si>
  <si>
    <t xml:space="preserve">Best Day</t>
  </si>
  <si>
    <t xml:space="preserve">–</t>
  </si>
  <si>
    <t xml:space="preserve">200 – 250 g</t>
  </si>
  <si>
    <t xml:space="preserve">Lowest Day</t>
  </si>
  <si>
    <t xml:space="preserve">45 – 60 g</t>
  </si>
  <si>
    <t xml:space="preserve">Days Meeting
Target (≥5.5 hrs)</t>
  </si>
  <si>
    <t xml:space="preserve">≥ 70%</t>
  </si>
  <si>
    <t xml:space="preserve">25 – 30 g</t>
  </si>
  <si>
    <t xml:space="preserve">Days Meeting
Target (≥7,000)</t>
  </si>
  <si>
    <t xml:space="preserve">Fruits Intake
(servings/day)</t>
  </si>
  <si>
    <t xml:space="preserve">2 servings/day</t>
  </si>
  <si>
    <t xml:space="preserve">Workout Logged</t>
  </si>
  <si>
    <t xml:space="preserve">≥ 2 days/week</t>
  </si>
  <si>
    <t xml:space="preserve">Veg Intake
(servings/day)</t>
  </si>
  <si>
    <t xml:space="preserve">Water Intake
(L/day)</t>
  </si>
  <si>
    <t xml:space="preserve">≥ 2.2 L</t>
  </si>
  <si>
    <t xml:space="preserve">KEY NUTRITION AVERAGES (ALL WEEKS)</t>
  </si>
  <si>
    <t xml:space="preserve">0.3</t>
  </si>
  <si>
    <t xml:space="preserve">1.6</t>
  </si>
  <si>
    <t xml:space="preserve">AVG PROTEIN</t>
  </si>
  <si>
    <t xml:space="preserve">AVG FIBER</t>
  </si>
  <si>
    <t xml:space="preserve">FRUITS</t>
  </si>
  <si>
    <t xml:space="preserve">VEG</t>
  </si>
  <si>
    <t xml:space="preserve">WATER</t>
  </si>
  <si>
    <t xml:space="preserve">🌙  SLEEP FOCUS:</t>
  </si>
  <si>
    <t xml:space="preserve">🥗  NUTRITION FOCUS:</t>
  </si>
  <si>
    <t xml:space="preserve">🏃  FITNESS FOCUS:</t>
  </si>
  <si>
    <t xml:space="preserve">Sleep is below target. Aim for 5.5–7 hrs every night.</t>
  </si>
  <si>
    <t xml:space="preserve">Protein and fiber intake below target. Increase protein,
fruits and vegetables.</t>
  </si>
  <si>
    <t xml:space="preserve">Steps improved but still below target.
Aim for 7,000+ steps every day.</t>
  </si>
  <si>
    <t xml:space="preserve">DUOFIT — CLIENT PROFILE</t>
  </si>
  <si>
    <t xml:space="preserve">Name</t>
  </si>
  <si>
    <t xml:space="preserve">Manogna</t>
  </si>
  <si>
    <t xml:space="preserve">Goal</t>
  </si>
  <si>
    <t xml:space="preserve">Improve Energy Levels &amp; Create Sustainable Food Habits</t>
  </si>
  <si>
    <t xml:space="preserve">Gender</t>
  </si>
  <si>
    <t xml:space="preserve">Female</t>
  </si>
  <si>
    <t xml:space="preserve">Age</t>
  </si>
  <si>
    <t xml:space="preserve">Height (cm)</t>
  </si>
  <si>
    <t xml:space="preserve">Weight (kg)</t>
  </si>
  <si>
    <t xml:space="preserve">BMI</t>
  </si>
  <si>
    <t xml:space="preserve">BMR</t>
  </si>
  <si>
    <t xml:space="preserve">1,382 cal/day</t>
  </si>
  <si>
    <t xml:space="preserve">TDEE</t>
  </si>
  <si>
    <t xml:space="preserve">1,700 cal/day</t>
  </si>
  <si>
    <t xml:space="preserve">Macro Targets</t>
  </si>
  <si>
    <t xml:space="preserve">Protein</t>
  </si>
  <si>
    <t xml:space="preserve">75.6 g/day</t>
  </si>
  <si>
    <t xml:space="preserve">Fats</t>
  </si>
  <si>
    <t xml:space="preserve">44.1 g/day</t>
  </si>
  <si>
    <t xml:space="preserve">Carbs</t>
  </si>
  <si>
    <t xml:space="preserve">250 g/day</t>
  </si>
  <si>
    <t xml:space="preserve">Fiber</t>
  </si>
  <si>
    <t xml:space="preserve">23.8 g/day</t>
  </si>
</sst>
</file>

<file path=xl/styles.xml><?xml version="1.0" encoding="utf-8"?>
<styleSheet xmlns="http://schemas.openxmlformats.org/spreadsheetml/2006/main">
  <numFmts count="6">
    <numFmt numFmtId="164" formatCode="General"/>
    <numFmt numFmtId="165" formatCode="dd\-mmm\-yyyy"/>
    <numFmt numFmtId="166" formatCode="General"/>
    <numFmt numFmtId="167" formatCode="0.0"/>
    <numFmt numFmtId="168" formatCode="#,##0"/>
    <numFmt numFmtId="169" formatCode="0"/>
  </numFmts>
  <fonts count="33">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i val="true"/>
      <sz val="8"/>
      <color rgb="FF888888"/>
      <name val="Arial"/>
      <family val="0"/>
      <charset val="1"/>
    </font>
    <font>
      <b val="true"/>
      <sz val="14"/>
      <color rgb="FFFFFFFF"/>
      <name val="Arial"/>
      <family val="0"/>
      <charset val="1"/>
    </font>
    <font>
      <b val="true"/>
      <sz val="13"/>
      <color rgb="FFFFFFFF"/>
      <name val="Arial"/>
      <family val="0"/>
      <charset val="1"/>
    </font>
    <font>
      <b val="true"/>
      <sz val="11"/>
      <color rgb="FFFFFFFF"/>
      <name val="Arial"/>
      <family val="0"/>
      <charset val="1"/>
    </font>
    <font>
      <b val="true"/>
      <sz val="9"/>
      <color rgb="FF1F4E8C"/>
      <name val="Arial"/>
      <family val="0"/>
      <charset val="1"/>
    </font>
    <font>
      <b val="true"/>
      <sz val="9"/>
      <color rgb="FF1F5C3A"/>
      <name val="Arial"/>
      <family val="0"/>
      <charset val="1"/>
    </font>
    <font>
      <b val="true"/>
      <sz val="9"/>
      <color rgb="FFC0531E"/>
      <name val="Arial"/>
      <family val="0"/>
      <charset val="1"/>
    </font>
    <font>
      <sz val="8"/>
      <color rgb="FF555555"/>
      <name val="Arial"/>
      <family val="0"/>
      <charset val="1"/>
    </font>
    <font>
      <sz val="8"/>
      <color rgb="FF666666"/>
      <name val="Arial"/>
      <family val="0"/>
      <charset val="1"/>
    </font>
    <font>
      <b val="true"/>
      <sz val="17"/>
      <color rgb="FF1F4E8C"/>
      <name val="Arial"/>
      <family val="0"/>
      <charset val="1"/>
    </font>
    <font>
      <b val="true"/>
      <sz val="17"/>
      <color rgb="FF1F5C3A"/>
      <name val="Arial"/>
      <family val="0"/>
      <charset val="1"/>
    </font>
    <font>
      <b val="true"/>
      <sz val="17"/>
      <color rgb="FFC0531E"/>
      <name val="Arial"/>
      <family val="0"/>
      <charset val="1"/>
    </font>
    <font>
      <sz val="7"/>
      <color rgb="FF888888"/>
      <name val="Arial"/>
      <family val="0"/>
      <charset val="1"/>
    </font>
    <font>
      <b val="true"/>
      <sz val="8"/>
      <color rgb="FF1F4E8C"/>
      <name val="Arial"/>
      <family val="0"/>
      <charset val="1"/>
    </font>
    <font>
      <b val="true"/>
      <sz val="8"/>
      <color rgb="FF333333"/>
      <name val="Arial"/>
      <family val="0"/>
      <charset val="1"/>
    </font>
    <font>
      <b val="true"/>
      <sz val="8"/>
      <color rgb="FF1F5C3A"/>
      <name val="Arial"/>
      <family val="0"/>
      <charset val="1"/>
    </font>
    <font>
      <b val="true"/>
      <sz val="8"/>
      <color rgb="FFC0531E"/>
      <name val="Arial"/>
      <family val="0"/>
      <charset val="1"/>
    </font>
    <font>
      <sz val="9"/>
      <color rgb="FF000000"/>
      <name val="Arial"/>
      <family val="0"/>
      <charset val="1"/>
    </font>
    <font>
      <i val="true"/>
      <sz val="9"/>
      <color rgb="FF555555"/>
      <name val="Arial"/>
      <family val="0"/>
      <charset val="1"/>
    </font>
    <font>
      <sz val="9"/>
      <color rgb="FF222222"/>
      <name val="Arial"/>
      <family val="0"/>
      <charset val="1"/>
    </font>
    <font>
      <sz val="9"/>
      <color rgb="FF444444"/>
      <name val="Arial"/>
      <family val="0"/>
      <charset val="1"/>
    </font>
    <font>
      <sz val="9"/>
      <color rgb="FF1F4E8C"/>
      <name val="Arial"/>
      <family val="0"/>
      <charset val="1"/>
    </font>
    <font>
      <b val="true"/>
      <sz val="14"/>
      <color rgb="FF1F5C3A"/>
      <name val="Arial"/>
      <family val="0"/>
      <charset val="1"/>
    </font>
    <font>
      <b val="true"/>
      <sz val="7"/>
      <color rgb="FF555555"/>
      <name val="Arial"/>
      <family val="0"/>
      <charset val="1"/>
    </font>
    <font>
      <sz val="9"/>
      <color rgb="FF333333"/>
      <name val="Arial"/>
      <family val="0"/>
      <charset val="1"/>
    </font>
    <font>
      <sz val="10"/>
      <color rgb="FF000000"/>
      <name val="Calibri"/>
      <family val="2"/>
    </font>
    <font>
      <b val="true"/>
      <sz val="10"/>
      <color rgb="FF000000"/>
      <name val="Arial"/>
      <family val="0"/>
      <charset val="1"/>
    </font>
    <font>
      <sz val="10"/>
      <color rgb="FF000000"/>
      <name val="Arial"/>
      <family val="0"/>
      <charset val="1"/>
    </font>
  </fonts>
  <fills count="12">
    <fill>
      <patternFill patternType="none"/>
    </fill>
    <fill>
      <patternFill patternType="gray125"/>
    </fill>
    <fill>
      <patternFill patternType="solid">
        <fgColor rgb="FF0B1F3A"/>
        <bgColor rgb="FF222222"/>
      </patternFill>
    </fill>
    <fill>
      <patternFill patternType="solid">
        <fgColor rgb="FF333333"/>
        <bgColor rgb="FF444444"/>
      </patternFill>
    </fill>
    <fill>
      <patternFill patternType="solid">
        <fgColor rgb="FF1F4E8C"/>
        <bgColor rgb="FF1F5C3A"/>
      </patternFill>
    </fill>
    <fill>
      <patternFill patternType="solid">
        <fgColor rgb="FF1F5C3A"/>
        <bgColor rgb="FF444444"/>
      </patternFill>
    </fill>
    <fill>
      <patternFill patternType="solid">
        <fgColor rgb="FFC0531E"/>
        <bgColor rgb="FFFF6600"/>
      </patternFill>
    </fill>
    <fill>
      <patternFill patternType="solid">
        <fgColor rgb="FFEBF0F8"/>
        <bgColor rgb="FFEBF5EF"/>
      </patternFill>
    </fill>
    <fill>
      <patternFill patternType="solid">
        <fgColor rgb="FFEBF5EF"/>
        <bgColor rgb="FFEBF0F8"/>
      </patternFill>
    </fill>
    <fill>
      <patternFill patternType="solid">
        <fgColor rgb="FFFAF0EB"/>
        <bgColor rgb="FFEBF5EF"/>
      </patternFill>
    </fill>
    <fill>
      <patternFill patternType="solid">
        <fgColor rgb="FFDDDDDD"/>
        <bgColor rgb="FFD9D9D9"/>
      </patternFill>
    </fill>
    <fill>
      <patternFill patternType="solid">
        <fgColor rgb="FFFFFFFF"/>
        <bgColor rgb="FFFAF0E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8" fillId="5" borderId="0" xfId="0" applyFont="true" applyBorder="true" applyAlignment="true" applyProtection="false">
      <alignment horizontal="center" vertical="center" textRotation="0" wrapText="false" indent="0" shrinkToFit="false"/>
      <protection locked="true" hidden="false"/>
    </xf>
    <xf numFmtId="164" fontId="8" fillId="6" borderId="0"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center" vertical="center"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true" applyProtection="false">
      <alignment horizontal="center" vertical="center" textRotation="0" wrapText="false" indent="0" shrinkToFit="false"/>
      <protection locked="true" hidden="false"/>
    </xf>
    <xf numFmtId="164" fontId="12" fillId="7" borderId="0" xfId="0" applyFont="true" applyBorder="false" applyAlignment="true" applyProtection="false">
      <alignment horizontal="center" vertical="center" textRotation="0" wrapText="false" indent="0" shrinkToFit="false"/>
      <protection locked="true" hidden="false"/>
    </xf>
    <xf numFmtId="164" fontId="12" fillId="8" borderId="0" xfId="0" applyFont="true" applyBorder="false" applyAlignment="true" applyProtection="false">
      <alignment horizontal="center" vertical="center" textRotation="0" wrapText="false" indent="0" shrinkToFit="false"/>
      <protection locked="true" hidden="false"/>
    </xf>
    <xf numFmtId="164" fontId="12" fillId="9" borderId="0" xfId="0" applyFont="true" applyBorder="false" applyAlignment="true" applyProtection="false">
      <alignment horizontal="center" vertical="center" textRotation="0" wrapText="false" indent="0" shrinkToFit="false"/>
      <protection locked="true" hidden="false"/>
    </xf>
    <xf numFmtId="164" fontId="13" fillId="7" borderId="0" xfId="0" applyFont="true" applyBorder="false" applyAlignment="true" applyProtection="false">
      <alignment horizontal="center" vertical="top" textRotation="0" wrapText="false" indent="0" shrinkToFit="false"/>
      <protection locked="true" hidden="false"/>
    </xf>
    <xf numFmtId="164" fontId="13" fillId="8" borderId="0" xfId="0" applyFont="true" applyBorder="false" applyAlignment="true" applyProtection="false">
      <alignment horizontal="center" vertical="top" textRotation="0" wrapText="false" indent="0" shrinkToFit="false"/>
      <protection locked="true" hidden="false"/>
    </xf>
    <xf numFmtId="164" fontId="13" fillId="9" borderId="0" xfId="0" applyFont="true" applyBorder="false" applyAlignment="true" applyProtection="false">
      <alignment horizontal="center" vertical="top" textRotation="0" wrapText="false" indent="0" shrinkToFit="false"/>
      <protection locked="true" hidden="false"/>
    </xf>
    <xf numFmtId="167" fontId="14" fillId="7" borderId="0" xfId="0" applyFont="true" applyBorder="false" applyAlignment="true" applyProtection="false">
      <alignment horizontal="center" vertical="center" textRotation="0" wrapText="false" indent="0" shrinkToFit="false"/>
      <protection locked="true" hidden="false"/>
    </xf>
    <xf numFmtId="168" fontId="15" fillId="8" borderId="0" xfId="0" applyFont="true" applyBorder="false" applyAlignment="true" applyProtection="false">
      <alignment horizontal="center" vertical="center" textRotation="0" wrapText="false" indent="0" shrinkToFit="false"/>
      <protection locked="true" hidden="false"/>
    </xf>
    <xf numFmtId="168" fontId="16" fillId="9" borderId="0" xfId="0" applyFont="true" applyBorder="false" applyAlignment="true" applyProtection="false">
      <alignment horizontal="center" vertical="center" textRotation="0" wrapText="false" indent="0" shrinkToFit="false"/>
      <protection locked="true" hidden="false"/>
    </xf>
    <xf numFmtId="164" fontId="17" fillId="7" borderId="0" xfId="0" applyFont="true" applyBorder="false" applyAlignment="true" applyProtection="false">
      <alignment horizontal="center" vertical="center" textRotation="0" wrapText="false" indent="0" shrinkToFit="false"/>
      <protection locked="true" hidden="false"/>
    </xf>
    <xf numFmtId="164" fontId="17" fillId="8" borderId="0" xfId="0" applyFont="true" applyBorder="false" applyAlignment="true" applyProtection="false">
      <alignment horizontal="center" vertical="center" textRotation="0" wrapText="false" indent="0" shrinkToFit="false"/>
      <protection locked="true" hidden="false"/>
    </xf>
    <xf numFmtId="164" fontId="17" fillId="9" borderId="0" xfId="0" applyFont="true" applyBorder="false" applyAlignment="true" applyProtection="false">
      <alignment horizontal="center" vertical="center"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9" fillId="11" borderId="0" xfId="0" applyFont="true" applyBorder="true" applyAlignment="true" applyProtection="false">
      <alignment horizontal="center" vertical="center" textRotation="0" wrapText="false" indent="0" shrinkToFit="false"/>
      <protection locked="true" hidden="false"/>
    </xf>
    <xf numFmtId="164" fontId="10" fillId="11" borderId="0" xfId="0" applyFont="true" applyBorder="true" applyAlignment="true" applyProtection="false">
      <alignment horizontal="center" vertical="center" textRotation="0" wrapText="false" indent="0" shrinkToFit="false"/>
      <protection locked="true" hidden="false"/>
    </xf>
    <xf numFmtId="164" fontId="11" fillId="11" borderId="0" xfId="0" applyFont="true" applyBorder="true" applyAlignment="true" applyProtection="false">
      <alignment horizontal="center" vertical="center" textRotation="0" wrapText="false" indent="0" shrinkToFit="false"/>
      <protection locked="true" hidden="false"/>
    </xf>
    <xf numFmtId="164" fontId="4" fillId="4" borderId="0" xfId="0" applyFont="true" applyBorder="tru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fals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7" fontId="22"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27" fillId="8" borderId="1" xfId="0" applyFont="tru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true" applyAlignment="true" applyProtection="false">
      <alignment horizontal="left" vertical="center" textRotation="0" wrapText="false" indent="0" shrinkToFit="false"/>
      <protection locked="true" hidden="false"/>
    </xf>
    <xf numFmtId="164" fontId="11" fillId="9" borderId="0" xfId="0" applyFont="true" applyBorder="true" applyAlignment="true" applyProtection="false">
      <alignment horizontal="left" vertical="center" textRotation="0" wrapText="false" indent="0" shrinkToFit="false"/>
      <protection locked="true" hidden="false"/>
    </xf>
    <xf numFmtId="164" fontId="29" fillId="7" borderId="0" xfId="0" applyFont="true" applyBorder="true" applyAlignment="true" applyProtection="false">
      <alignment horizontal="left" vertical="center" textRotation="0" wrapText="true" indent="0" shrinkToFit="false"/>
      <protection locked="true" hidden="false"/>
    </xf>
    <xf numFmtId="164" fontId="29" fillId="8" borderId="0" xfId="0" applyFont="true" applyBorder="true" applyAlignment="true" applyProtection="false">
      <alignment horizontal="left" vertical="center" textRotation="0" wrapText="true" indent="0" shrinkToFit="false"/>
      <protection locked="true" hidden="false"/>
    </xf>
    <xf numFmtId="164" fontId="29" fillId="9" borderId="0" xfId="0" applyFont="true" applyBorder="true" applyAlignment="true" applyProtection="false">
      <alignment horizontal="left" vertical="center" textRotation="0" wrapText="tru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0" fillId="8" borderId="0" xfId="0" applyFont="false" applyBorder="true" applyAlignment="false" applyProtection="fals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B1F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1F5C3A"/>
      <rgbColor rgb="FF000080"/>
      <rgbColor rgb="FF808000"/>
      <rgbColor rgb="FF800080"/>
      <rgbColor rgb="FF008080"/>
      <rgbColor rgb="FFCCCCCC"/>
      <rgbColor rgb="FF878787"/>
      <rgbColor rgb="FF9999FF"/>
      <rgbColor rgb="FF555555"/>
      <rgbColor rgb="FFFAF0EB"/>
      <rgbColor rgb="FFEBF5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0F8"/>
      <rgbColor rgb="FFDDDDDD"/>
      <rgbColor rgb="FFFFFF99"/>
      <rgbColor rgb="FF99CCFF"/>
      <rgbColor rgb="FFFF99CC"/>
      <rgbColor rgb="FFCC99FF"/>
      <rgbColor rgb="FFFFCC99"/>
      <rgbColor rgb="FF3366FF"/>
      <rgbColor rgb="FF33CCCC"/>
      <rgbColor rgb="FF99CC00"/>
      <rgbColor rgb="FFFFCC00"/>
      <rgbColor rgb="FFFF9900"/>
      <rgbColor rgb="FFFF6600"/>
      <rgbColor rgb="FF666666"/>
      <rgbColor rgb="FF888888"/>
      <rgbColor rgb="FF0B1F3A"/>
      <rgbColor rgb="FF339966"/>
      <rgbColor rgb="FF444444"/>
      <rgbColor rgb="FF222222"/>
      <rgbColor rgb="FFC0531E"/>
      <rgbColor rgb="FF993366"/>
      <rgbColor rgb="FF1F4E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Data!L1</c:f>
              <c:strCache>
                <c:ptCount val="1"/>
                <c:pt idx="0">
                  <c:v>Sleep (hrs)</c:v>
                </c:pt>
              </c:strCache>
            </c:strRef>
          </c:tx>
          <c:spPr>
            <a:solidFill>
              <a:srgbClr val="1f4e8c"/>
            </a:solidFill>
            <a:ln w="18000">
              <a:solidFill>
                <a:srgbClr val="1f4e8c"/>
              </a:solidFill>
              <a:round/>
            </a:ln>
          </c:spPr>
          <c:marker>
            <c:symbol val="circle"/>
            <c:size val="4"/>
            <c:spPr>
              <a:solidFill>
                <a:srgbClr val="1f4e8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Data!$A$2:$A$500</c:f>
              <c:strCache>
                <c:ptCount val="499"/>
                <c:pt idx="0">
                  <c:v>10-Jun-2026</c:v>
                </c:pt>
                <c:pt idx="1">
                  <c:v>11-Jun-2026</c:v>
                </c:pt>
                <c:pt idx="2">
                  <c:v>12-Jun-2026</c:v>
                </c:pt>
                <c:pt idx="3">
                  <c:v>13-Jun-2026</c:v>
                </c:pt>
                <c:pt idx="4">
                  <c:v>14-Jun-2026</c:v>
                </c:pt>
                <c:pt idx="5">
                  <c:v>15-Jun-2026</c:v>
                </c:pt>
                <c:pt idx="6">
                  <c:v>16-Jun-2026</c:v>
                </c:pt>
                <c:pt idx="7">
                  <c:v>17-Jun-2026</c:v>
                </c:pt>
                <c:pt idx="8">
                  <c:v>18-Jun-2026</c:v>
                </c:pt>
                <c:pt idx="9">
                  <c:v>19-Jun-2026</c:v>
                </c:pt>
                <c:pt idx="10">
                  <c:v>20-Jun-2026</c:v>
                </c:pt>
                <c:pt idx="11">
                  <c:v>21-Jun-2026</c:v>
                </c:pt>
                <c:pt idx="12">
                  <c:v>22-Jun-2026</c:v>
                </c:pt>
                <c:pt idx="13">
                  <c:v>23-Jun-2026</c:v>
                </c:pt>
                <c:pt idx="14">
                  <c:v>24-Jun-2026</c:v>
                </c:pt>
                <c:pt idx="15">
                  <c:v>25-Jun-2026</c:v>
                </c:pt>
                <c:pt idx="16">
                  <c:v>26-Jun-2026</c:v>
                </c:pt>
                <c:pt idx="17">
                  <c:v>27-Jun-2026</c:v>
                </c:pt>
                <c:pt idx="18">
                  <c:v>28-Jun-2026</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pt idx="240">
                  <c:v/>
                </c:pt>
                <c:pt idx="241">
                  <c:v/>
                </c:pt>
                <c:pt idx="242">
                  <c:v/>
                </c:pt>
                <c:pt idx="243">
                  <c:v/>
                </c:pt>
                <c:pt idx="244">
                  <c:v/>
                </c:pt>
                <c:pt idx="245">
                  <c:v/>
                </c:pt>
                <c:pt idx="246">
                  <c:v/>
                </c:pt>
                <c:pt idx="247">
                  <c:v/>
                </c:pt>
                <c:pt idx="248">
                  <c:v/>
                </c:pt>
                <c:pt idx="249">
                  <c:v/>
                </c:pt>
                <c:pt idx="250">
                  <c:v/>
                </c:pt>
                <c:pt idx="251">
                  <c:v/>
                </c:pt>
                <c:pt idx="252">
                  <c:v/>
                </c:pt>
                <c:pt idx="253">
                  <c:v/>
                </c:pt>
                <c:pt idx="254">
                  <c:v/>
                </c:pt>
                <c:pt idx="255">
                  <c:v/>
                </c:pt>
                <c:pt idx="256">
                  <c:v/>
                </c:pt>
                <c:pt idx="257">
                  <c:v/>
                </c:pt>
                <c:pt idx="258">
                  <c:v/>
                </c:pt>
                <c:pt idx="259">
                  <c:v/>
                </c:pt>
                <c:pt idx="260">
                  <c:v/>
                </c:pt>
                <c:pt idx="261">
                  <c:v/>
                </c:pt>
                <c:pt idx="262">
                  <c:v/>
                </c:pt>
                <c:pt idx="263">
                  <c:v/>
                </c:pt>
                <c:pt idx="264">
                  <c:v/>
                </c:pt>
                <c:pt idx="265">
                  <c:v/>
                </c:pt>
                <c:pt idx="266">
                  <c:v/>
                </c:pt>
                <c:pt idx="267">
                  <c:v/>
                </c:pt>
                <c:pt idx="268">
                  <c:v/>
                </c:pt>
                <c:pt idx="269">
                  <c:v/>
                </c:pt>
                <c:pt idx="270">
                  <c:v/>
                </c:pt>
                <c:pt idx="271">
                  <c:v/>
                </c:pt>
                <c:pt idx="272">
                  <c:v/>
                </c:pt>
                <c:pt idx="273">
                  <c:v/>
                </c:pt>
                <c:pt idx="274">
                  <c:v/>
                </c:pt>
                <c:pt idx="275">
                  <c:v/>
                </c:pt>
                <c:pt idx="276">
                  <c:v/>
                </c:pt>
                <c:pt idx="277">
                  <c:v/>
                </c:pt>
                <c:pt idx="278">
                  <c:v/>
                </c:pt>
                <c:pt idx="279">
                  <c:v/>
                </c:pt>
                <c:pt idx="280">
                  <c:v/>
                </c:pt>
                <c:pt idx="281">
                  <c:v/>
                </c:pt>
                <c:pt idx="282">
                  <c:v/>
                </c:pt>
                <c:pt idx="283">
                  <c:v/>
                </c:pt>
                <c:pt idx="284">
                  <c:v/>
                </c:pt>
                <c:pt idx="285">
                  <c:v/>
                </c:pt>
                <c:pt idx="286">
                  <c:v/>
                </c:pt>
                <c:pt idx="287">
                  <c:v/>
                </c:pt>
                <c:pt idx="288">
                  <c:v/>
                </c:pt>
                <c:pt idx="289">
                  <c:v/>
                </c:pt>
                <c:pt idx="290">
                  <c:v/>
                </c:pt>
                <c:pt idx="291">
                  <c:v/>
                </c:pt>
                <c:pt idx="292">
                  <c:v/>
                </c:pt>
                <c:pt idx="293">
                  <c:v/>
                </c:pt>
                <c:pt idx="294">
                  <c:v/>
                </c:pt>
                <c:pt idx="295">
                  <c:v/>
                </c:pt>
                <c:pt idx="296">
                  <c:v/>
                </c:pt>
                <c:pt idx="297">
                  <c:v/>
                </c:pt>
                <c:pt idx="298">
                  <c:v/>
                </c:pt>
                <c:pt idx="299">
                  <c:v/>
                </c:pt>
                <c:pt idx="300">
                  <c:v/>
                </c:pt>
                <c:pt idx="301">
                  <c:v/>
                </c:pt>
                <c:pt idx="302">
                  <c:v/>
                </c:pt>
                <c:pt idx="303">
                  <c:v/>
                </c:pt>
                <c:pt idx="304">
                  <c:v/>
                </c:pt>
                <c:pt idx="305">
                  <c:v/>
                </c:pt>
                <c:pt idx="306">
                  <c:v/>
                </c:pt>
                <c:pt idx="307">
                  <c:v/>
                </c:pt>
                <c:pt idx="308">
                  <c:v/>
                </c:pt>
                <c:pt idx="309">
                  <c:v/>
                </c:pt>
                <c:pt idx="310">
                  <c:v/>
                </c:pt>
                <c:pt idx="311">
                  <c:v/>
                </c:pt>
                <c:pt idx="312">
                  <c:v/>
                </c:pt>
                <c:pt idx="313">
                  <c:v/>
                </c:pt>
                <c:pt idx="314">
                  <c:v/>
                </c:pt>
                <c:pt idx="315">
                  <c:v/>
                </c:pt>
                <c:pt idx="316">
                  <c:v/>
                </c:pt>
                <c:pt idx="317">
                  <c:v/>
                </c:pt>
                <c:pt idx="318">
                  <c:v/>
                </c:pt>
                <c:pt idx="319">
                  <c:v/>
                </c:pt>
                <c:pt idx="320">
                  <c:v/>
                </c:pt>
                <c:pt idx="321">
                  <c:v/>
                </c:pt>
                <c:pt idx="322">
                  <c:v/>
                </c:pt>
                <c:pt idx="323">
                  <c:v/>
                </c:pt>
                <c:pt idx="324">
                  <c:v/>
                </c:pt>
                <c:pt idx="325">
                  <c:v/>
                </c:pt>
                <c:pt idx="326">
                  <c:v/>
                </c:pt>
                <c:pt idx="327">
                  <c:v/>
                </c:pt>
                <c:pt idx="328">
                  <c:v/>
                </c:pt>
                <c:pt idx="329">
                  <c:v/>
                </c:pt>
                <c:pt idx="330">
                  <c:v/>
                </c:pt>
                <c:pt idx="331">
                  <c:v/>
                </c:pt>
                <c:pt idx="332">
                  <c:v/>
                </c:pt>
                <c:pt idx="333">
                  <c:v/>
                </c:pt>
                <c:pt idx="334">
                  <c:v/>
                </c:pt>
                <c:pt idx="335">
                  <c:v/>
                </c:pt>
                <c:pt idx="336">
                  <c:v/>
                </c:pt>
                <c:pt idx="337">
                  <c:v/>
                </c:pt>
                <c:pt idx="338">
                  <c:v/>
                </c:pt>
                <c:pt idx="339">
                  <c:v/>
                </c:pt>
                <c:pt idx="340">
                  <c:v/>
                </c:pt>
                <c:pt idx="341">
                  <c:v/>
                </c:pt>
                <c:pt idx="342">
                  <c:v/>
                </c:pt>
                <c:pt idx="343">
                  <c:v/>
                </c:pt>
                <c:pt idx="344">
                  <c:v/>
                </c:pt>
                <c:pt idx="345">
                  <c:v/>
                </c:pt>
                <c:pt idx="346">
                  <c:v/>
                </c:pt>
                <c:pt idx="347">
                  <c:v/>
                </c:pt>
                <c:pt idx="348">
                  <c:v/>
                </c:pt>
                <c:pt idx="349">
                  <c:v/>
                </c:pt>
                <c:pt idx="350">
                  <c:v/>
                </c:pt>
                <c:pt idx="351">
                  <c:v/>
                </c:pt>
                <c:pt idx="352">
                  <c:v/>
                </c:pt>
                <c:pt idx="353">
                  <c:v/>
                </c:pt>
                <c:pt idx="354">
                  <c:v/>
                </c:pt>
                <c:pt idx="355">
                  <c:v/>
                </c:pt>
                <c:pt idx="356">
                  <c:v/>
                </c:pt>
                <c:pt idx="357">
                  <c:v/>
                </c:pt>
                <c:pt idx="358">
                  <c:v/>
                </c:pt>
                <c:pt idx="359">
                  <c:v/>
                </c:pt>
                <c:pt idx="360">
                  <c:v/>
                </c:pt>
                <c:pt idx="361">
                  <c:v/>
                </c:pt>
                <c:pt idx="362">
                  <c:v/>
                </c:pt>
                <c:pt idx="363">
                  <c:v/>
                </c:pt>
                <c:pt idx="364">
                  <c:v/>
                </c:pt>
                <c:pt idx="365">
                  <c:v/>
                </c:pt>
                <c:pt idx="366">
                  <c:v/>
                </c:pt>
                <c:pt idx="367">
                  <c:v/>
                </c:pt>
                <c:pt idx="368">
                  <c:v/>
                </c:pt>
                <c:pt idx="369">
                  <c:v/>
                </c:pt>
                <c:pt idx="370">
                  <c:v/>
                </c:pt>
                <c:pt idx="371">
                  <c:v/>
                </c:pt>
                <c:pt idx="372">
                  <c:v/>
                </c:pt>
                <c:pt idx="373">
                  <c:v/>
                </c:pt>
                <c:pt idx="374">
                  <c:v/>
                </c:pt>
                <c:pt idx="375">
                  <c:v/>
                </c:pt>
                <c:pt idx="376">
                  <c:v/>
                </c:pt>
                <c:pt idx="377">
                  <c:v/>
                </c:pt>
                <c:pt idx="378">
                  <c:v/>
                </c:pt>
                <c:pt idx="379">
                  <c:v/>
                </c:pt>
                <c:pt idx="380">
                  <c:v/>
                </c:pt>
                <c:pt idx="381">
                  <c:v/>
                </c:pt>
                <c:pt idx="382">
                  <c:v/>
                </c:pt>
                <c:pt idx="383">
                  <c:v/>
                </c:pt>
                <c:pt idx="384">
                  <c:v/>
                </c:pt>
                <c:pt idx="385">
                  <c:v/>
                </c:pt>
                <c:pt idx="386">
                  <c:v/>
                </c:pt>
                <c:pt idx="387">
                  <c:v/>
                </c:pt>
                <c:pt idx="388">
                  <c:v/>
                </c:pt>
                <c:pt idx="389">
                  <c:v/>
                </c:pt>
                <c:pt idx="390">
                  <c:v/>
                </c:pt>
                <c:pt idx="391">
                  <c:v/>
                </c:pt>
                <c:pt idx="392">
                  <c:v/>
                </c:pt>
                <c:pt idx="393">
                  <c:v/>
                </c:pt>
                <c:pt idx="394">
                  <c:v/>
                </c:pt>
                <c:pt idx="395">
                  <c:v/>
                </c:pt>
                <c:pt idx="396">
                  <c:v/>
                </c:pt>
                <c:pt idx="397">
                  <c:v/>
                </c:pt>
                <c:pt idx="398">
                  <c:v/>
                </c:pt>
                <c:pt idx="399">
                  <c:v/>
                </c:pt>
                <c:pt idx="400">
                  <c:v/>
                </c:pt>
                <c:pt idx="401">
                  <c:v/>
                </c:pt>
                <c:pt idx="402">
                  <c:v/>
                </c:pt>
                <c:pt idx="403">
                  <c:v/>
                </c:pt>
                <c:pt idx="404">
                  <c:v/>
                </c:pt>
                <c:pt idx="405">
                  <c:v/>
                </c:pt>
                <c:pt idx="406">
                  <c:v/>
                </c:pt>
                <c:pt idx="407">
                  <c:v/>
                </c:pt>
                <c:pt idx="408">
                  <c:v/>
                </c:pt>
                <c:pt idx="409">
                  <c:v/>
                </c:pt>
                <c:pt idx="410">
                  <c:v/>
                </c:pt>
                <c:pt idx="411">
                  <c:v/>
                </c:pt>
                <c:pt idx="412">
                  <c:v/>
                </c:pt>
                <c:pt idx="413">
                  <c:v/>
                </c:pt>
                <c:pt idx="414">
                  <c:v/>
                </c:pt>
                <c:pt idx="415">
                  <c:v/>
                </c:pt>
                <c:pt idx="416">
                  <c:v/>
                </c:pt>
                <c:pt idx="417">
                  <c:v/>
                </c:pt>
                <c:pt idx="418">
                  <c:v/>
                </c:pt>
                <c:pt idx="419">
                  <c:v/>
                </c:pt>
                <c:pt idx="420">
                  <c:v/>
                </c:pt>
                <c:pt idx="421">
                  <c:v/>
                </c:pt>
                <c:pt idx="422">
                  <c:v/>
                </c:pt>
                <c:pt idx="423">
                  <c:v/>
                </c:pt>
                <c:pt idx="424">
                  <c:v/>
                </c:pt>
                <c:pt idx="425">
                  <c:v/>
                </c:pt>
                <c:pt idx="426">
                  <c:v/>
                </c:pt>
                <c:pt idx="427">
                  <c:v/>
                </c:pt>
                <c:pt idx="428">
                  <c:v/>
                </c:pt>
                <c:pt idx="429">
                  <c:v/>
                </c:pt>
                <c:pt idx="430">
                  <c:v/>
                </c:pt>
                <c:pt idx="431">
                  <c:v/>
                </c:pt>
                <c:pt idx="432">
                  <c:v/>
                </c:pt>
                <c:pt idx="433">
                  <c:v/>
                </c:pt>
                <c:pt idx="434">
                  <c:v/>
                </c:pt>
                <c:pt idx="435">
                  <c:v/>
                </c:pt>
                <c:pt idx="436">
                  <c:v/>
                </c:pt>
                <c:pt idx="437">
                  <c:v/>
                </c:pt>
                <c:pt idx="438">
                  <c:v/>
                </c:pt>
                <c:pt idx="439">
                  <c:v/>
                </c:pt>
                <c:pt idx="440">
                  <c:v/>
                </c:pt>
                <c:pt idx="441">
                  <c:v/>
                </c:pt>
                <c:pt idx="442">
                  <c:v/>
                </c:pt>
                <c:pt idx="443">
                  <c:v/>
                </c:pt>
                <c:pt idx="444">
                  <c:v/>
                </c:pt>
                <c:pt idx="445">
                  <c:v/>
                </c:pt>
                <c:pt idx="446">
                  <c:v/>
                </c:pt>
                <c:pt idx="447">
                  <c:v/>
                </c:pt>
                <c:pt idx="448">
                  <c:v/>
                </c:pt>
                <c:pt idx="449">
                  <c:v/>
                </c:pt>
                <c:pt idx="450">
                  <c:v/>
                </c:pt>
                <c:pt idx="451">
                  <c:v/>
                </c:pt>
                <c:pt idx="452">
                  <c:v/>
                </c:pt>
                <c:pt idx="453">
                  <c:v/>
                </c:pt>
                <c:pt idx="454">
                  <c:v/>
                </c:pt>
                <c:pt idx="455">
                  <c:v/>
                </c:pt>
                <c:pt idx="456">
                  <c:v/>
                </c:pt>
                <c:pt idx="457">
                  <c:v/>
                </c:pt>
                <c:pt idx="458">
                  <c:v/>
                </c:pt>
                <c:pt idx="459">
                  <c:v/>
                </c:pt>
                <c:pt idx="460">
                  <c:v/>
                </c:pt>
                <c:pt idx="461">
                  <c:v/>
                </c:pt>
                <c:pt idx="462">
                  <c:v/>
                </c:pt>
                <c:pt idx="463">
                  <c:v/>
                </c:pt>
                <c:pt idx="464">
                  <c:v/>
                </c:pt>
                <c:pt idx="465">
                  <c:v/>
                </c:pt>
                <c:pt idx="466">
                  <c:v/>
                </c:pt>
                <c:pt idx="467">
                  <c:v/>
                </c:pt>
                <c:pt idx="468">
                  <c:v/>
                </c:pt>
                <c:pt idx="469">
                  <c:v/>
                </c:pt>
                <c:pt idx="470">
                  <c:v/>
                </c:pt>
                <c:pt idx="471">
                  <c:v/>
                </c:pt>
                <c:pt idx="472">
                  <c:v/>
                </c:pt>
                <c:pt idx="473">
                  <c:v/>
                </c:pt>
                <c:pt idx="474">
                  <c:v/>
                </c:pt>
                <c:pt idx="475">
                  <c:v/>
                </c:pt>
                <c:pt idx="476">
                  <c:v/>
                </c:pt>
                <c:pt idx="477">
                  <c:v/>
                </c:pt>
                <c:pt idx="478">
                  <c:v/>
                </c:pt>
                <c:pt idx="479">
                  <c:v/>
                </c:pt>
                <c:pt idx="480">
                  <c:v/>
                </c:pt>
                <c:pt idx="481">
                  <c:v/>
                </c:pt>
                <c:pt idx="482">
                  <c:v/>
                </c:pt>
                <c:pt idx="483">
                  <c:v/>
                </c:pt>
                <c:pt idx="484">
                  <c:v/>
                </c:pt>
                <c:pt idx="485">
                  <c:v/>
                </c:pt>
                <c:pt idx="486">
                  <c:v/>
                </c:pt>
                <c:pt idx="487">
                  <c:v/>
                </c:pt>
                <c:pt idx="488">
                  <c:v/>
                </c:pt>
                <c:pt idx="489">
                  <c:v/>
                </c:pt>
                <c:pt idx="490">
                  <c:v/>
                </c:pt>
                <c:pt idx="491">
                  <c:v/>
                </c:pt>
                <c:pt idx="492">
                  <c:v/>
                </c:pt>
                <c:pt idx="493">
                  <c:v/>
                </c:pt>
                <c:pt idx="494">
                  <c:v/>
                </c:pt>
                <c:pt idx="495">
                  <c:v/>
                </c:pt>
                <c:pt idx="496">
                  <c:v/>
                </c:pt>
                <c:pt idx="497">
                  <c:v/>
                </c:pt>
                <c:pt idx="498">
                  <c:v/>
                </c:pt>
              </c:strCache>
            </c:strRef>
          </c:cat>
          <c:val>
            <c:numRef>
              <c:f>Data!$L$2:$L$500</c:f>
              <c:numCache>
                <c:formatCode>General</c:formatCode>
                <c:ptCount val="499"/>
                <c:pt idx="0">
                  <c:v>6</c:v>
                </c:pt>
                <c:pt idx="1">
                  <c:v>5</c:v>
                </c:pt>
                <c:pt idx="2">
                  <c:v>7</c:v>
                </c:pt>
                <c:pt idx="3">
                  <c:v>8</c:v>
                </c:pt>
                <c:pt idx="4">
                  <c:v>5</c:v>
                </c:pt>
                <c:pt idx="5">
                  <c:v>5.5</c:v>
                </c:pt>
                <c:pt idx="6">
                  <c:v>5</c:v>
                </c:pt>
                <c:pt idx="7">
                  <c:v>6</c:v>
                </c:pt>
                <c:pt idx="8">
                  <c:v>6</c:v>
                </c:pt>
                <c:pt idx="9">
                  <c:v>5</c:v>
                </c:pt>
                <c:pt idx="10">
                  <c:v>5</c:v>
                </c:pt>
                <c:pt idx="11">
                  <c:v>6</c:v>
                </c:pt>
                <c:pt idx="12">
                  <c:v>5</c:v>
                </c:pt>
                <c:pt idx="13">
                  <c:v>5</c:v>
                </c:pt>
                <c:pt idx="14">
                  <c:v>5</c:v>
                </c:pt>
                <c:pt idx="15">
                  <c:v>6</c:v>
                </c:pt>
                <c:pt idx="16">
                  <c:v>5</c:v>
                </c:pt>
                <c:pt idx="17">
                  <c:v>7</c:v>
                </c:pt>
                <c:pt idx="18">
                  <c:v>5</c:v>
                </c:pt>
              </c:numCache>
            </c:numRef>
          </c:val>
          <c:smooth val="0"/>
        </c:ser>
        <c:hiLowLines>
          <c:spPr>
            <a:ln w="0">
              <a:noFill/>
            </a:ln>
          </c:spPr>
        </c:hiLowLines>
        <c:marker val="1"/>
        <c:axId val="41842047"/>
        <c:axId val="13833412"/>
      </c:lineChart>
      <c:catAx>
        <c:axId val="41842047"/>
        <c:scaling>
          <c:orientation val="minMax"/>
        </c:scaling>
        <c:delete val="0"/>
        <c:axPos val="b"/>
        <c:numFmt formatCode="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33412"/>
        <c:crosses val="autoZero"/>
        <c:auto val="1"/>
        <c:lblAlgn val="ctr"/>
        <c:lblOffset val="100"/>
        <c:noMultiLvlLbl val="0"/>
      </c:catAx>
      <c:valAx>
        <c:axId val="1383341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420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Data!C1</c:f>
              <c:strCache>
                <c:ptCount val="1"/>
                <c:pt idx="0">
                  <c:v>Calories Intake</c:v>
                </c:pt>
              </c:strCache>
            </c:strRef>
          </c:tx>
          <c:spPr>
            <a:solidFill>
              <a:srgbClr val="1f5c3a"/>
            </a:solidFill>
            <a:ln w="18000">
              <a:solidFill>
                <a:srgbClr val="1f5c3a"/>
              </a:solidFill>
              <a:round/>
            </a:ln>
          </c:spPr>
          <c:marker>
            <c:symbol val="circle"/>
            <c:size val="4"/>
            <c:spPr>
              <a:solidFill>
                <a:srgbClr val="1f5c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Data!$A$2:$A$500</c:f>
              <c:strCache>
                <c:ptCount val="499"/>
                <c:pt idx="0">
                  <c:v>10-Jun-2026</c:v>
                </c:pt>
                <c:pt idx="1">
                  <c:v>11-Jun-2026</c:v>
                </c:pt>
                <c:pt idx="2">
                  <c:v>12-Jun-2026</c:v>
                </c:pt>
                <c:pt idx="3">
                  <c:v>13-Jun-2026</c:v>
                </c:pt>
                <c:pt idx="4">
                  <c:v>14-Jun-2026</c:v>
                </c:pt>
                <c:pt idx="5">
                  <c:v>15-Jun-2026</c:v>
                </c:pt>
                <c:pt idx="6">
                  <c:v>16-Jun-2026</c:v>
                </c:pt>
                <c:pt idx="7">
                  <c:v>17-Jun-2026</c:v>
                </c:pt>
                <c:pt idx="8">
                  <c:v>18-Jun-2026</c:v>
                </c:pt>
                <c:pt idx="9">
                  <c:v>19-Jun-2026</c:v>
                </c:pt>
                <c:pt idx="10">
                  <c:v>20-Jun-2026</c:v>
                </c:pt>
                <c:pt idx="11">
                  <c:v>21-Jun-2026</c:v>
                </c:pt>
                <c:pt idx="12">
                  <c:v>22-Jun-2026</c:v>
                </c:pt>
                <c:pt idx="13">
                  <c:v>23-Jun-2026</c:v>
                </c:pt>
                <c:pt idx="14">
                  <c:v>24-Jun-2026</c:v>
                </c:pt>
                <c:pt idx="15">
                  <c:v>25-Jun-2026</c:v>
                </c:pt>
                <c:pt idx="16">
                  <c:v>26-Jun-2026</c:v>
                </c:pt>
                <c:pt idx="17">
                  <c:v>27-Jun-2026</c:v>
                </c:pt>
                <c:pt idx="18">
                  <c:v>28-Jun-2026</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pt idx="240">
                  <c:v/>
                </c:pt>
                <c:pt idx="241">
                  <c:v/>
                </c:pt>
                <c:pt idx="242">
                  <c:v/>
                </c:pt>
                <c:pt idx="243">
                  <c:v/>
                </c:pt>
                <c:pt idx="244">
                  <c:v/>
                </c:pt>
                <c:pt idx="245">
                  <c:v/>
                </c:pt>
                <c:pt idx="246">
                  <c:v/>
                </c:pt>
                <c:pt idx="247">
                  <c:v/>
                </c:pt>
                <c:pt idx="248">
                  <c:v/>
                </c:pt>
                <c:pt idx="249">
                  <c:v/>
                </c:pt>
                <c:pt idx="250">
                  <c:v/>
                </c:pt>
                <c:pt idx="251">
                  <c:v/>
                </c:pt>
                <c:pt idx="252">
                  <c:v/>
                </c:pt>
                <c:pt idx="253">
                  <c:v/>
                </c:pt>
                <c:pt idx="254">
                  <c:v/>
                </c:pt>
                <c:pt idx="255">
                  <c:v/>
                </c:pt>
                <c:pt idx="256">
                  <c:v/>
                </c:pt>
                <c:pt idx="257">
                  <c:v/>
                </c:pt>
                <c:pt idx="258">
                  <c:v/>
                </c:pt>
                <c:pt idx="259">
                  <c:v/>
                </c:pt>
                <c:pt idx="260">
                  <c:v/>
                </c:pt>
                <c:pt idx="261">
                  <c:v/>
                </c:pt>
                <c:pt idx="262">
                  <c:v/>
                </c:pt>
                <c:pt idx="263">
                  <c:v/>
                </c:pt>
                <c:pt idx="264">
                  <c:v/>
                </c:pt>
                <c:pt idx="265">
                  <c:v/>
                </c:pt>
                <c:pt idx="266">
                  <c:v/>
                </c:pt>
                <c:pt idx="267">
                  <c:v/>
                </c:pt>
                <c:pt idx="268">
                  <c:v/>
                </c:pt>
                <c:pt idx="269">
                  <c:v/>
                </c:pt>
                <c:pt idx="270">
                  <c:v/>
                </c:pt>
                <c:pt idx="271">
                  <c:v/>
                </c:pt>
                <c:pt idx="272">
                  <c:v/>
                </c:pt>
                <c:pt idx="273">
                  <c:v/>
                </c:pt>
                <c:pt idx="274">
                  <c:v/>
                </c:pt>
                <c:pt idx="275">
                  <c:v/>
                </c:pt>
                <c:pt idx="276">
                  <c:v/>
                </c:pt>
                <c:pt idx="277">
                  <c:v/>
                </c:pt>
                <c:pt idx="278">
                  <c:v/>
                </c:pt>
                <c:pt idx="279">
                  <c:v/>
                </c:pt>
                <c:pt idx="280">
                  <c:v/>
                </c:pt>
                <c:pt idx="281">
                  <c:v/>
                </c:pt>
                <c:pt idx="282">
                  <c:v/>
                </c:pt>
                <c:pt idx="283">
                  <c:v/>
                </c:pt>
                <c:pt idx="284">
                  <c:v/>
                </c:pt>
                <c:pt idx="285">
                  <c:v/>
                </c:pt>
                <c:pt idx="286">
                  <c:v/>
                </c:pt>
                <c:pt idx="287">
                  <c:v/>
                </c:pt>
                <c:pt idx="288">
                  <c:v/>
                </c:pt>
                <c:pt idx="289">
                  <c:v/>
                </c:pt>
                <c:pt idx="290">
                  <c:v/>
                </c:pt>
                <c:pt idx="291">
                  <c:v/>
                </c:pt>
                <c:pt idx="292">
                  <c:v/>
                </c:pt>
                <c:pt idx="293">
                  <c:v/>
                </c:pt>
                <c:pt idx="294">
                  <c:v/>
                </c:pt>
                <c:pt idx="295">
                  <c:v/>
                </c:pt>
                <c:pt idx="296">
                  <c:v/>
                </c:pt>
                <c:pt idx="297">
                  <c:v/>
                </c:pt>
                <c:pt idx="298">
                  <c:v/>
                </c:pt>
                <c:pt idx="299">
                  <c:v/>
                </c:pt>
                <c:pt idx="300">
                  <c:v/>
                </c:pt>
                <c:pt idx="301">
                  <c:v/>
                </c:pt>
                <c:pt idx="302">
                  <c:v/>
                </c:pt>
                <c:pt idx="303">
                  <c:v/>
                </c:pt>
                <c:pt idx="304">
                  <c:v/>
                </c:pt>
                <c:pt idx="305">
                  <c:v/>
                </c:pt>
                <c:pt idx="306">
                  <c:v/>
                </c:pt>
                <c:pt idx="307">
                  <c:v/>
                </c:pt>
                <c:pt idx="308">
                  <c:v/>
                </c:pt>
                <c:pt idx="309">
                  <c:v/>
                </c:pt>
                <c:pt idx="310">
                  <c:v/>
                </c:pt>
                <c:pt idx="311">
                  <c:v/>
                </c:pt>
                <c:pt idx="312">
                  <c:v/>
                </c:pt>
                <c:pt idx="313">
                  <c:v/>
                </c:pt>
                <c:pt idx="314">
                  <c:v/>
                </c:pt>
                <c:pt idx="315">
                  <c:v/>
                </c:pt>
                <c:pt idx="316">
                  <c:v/>
                </c:pt>
                <c:pt idx="317">
                  <c:v/>
                </c:pt>
                <c:pt idx="318">
                  <c:v/>
                </c:pt>
                <c:pt idx="319">
                  <c:v/>
                </c:pt>
                <c:pt idx="320">
                  <c:v/>
                </c:pt>
                <c:pt idx="321">
                  <c:v/>
                </c:pt>
                <c:pt idx="322">
                  <c:v/>
                </c:pt>
                <c:pt idx="323">
                  <c:v/>
                </c:pt>
                <c:pt idx="324">
                  <c:v/>
                </c:pt>
                <c:pt idx="325">
                  <c:v/>
                </c:pt>
                <c:pt idx="326">
                  <c:v/>
                </c:pt>
                <c:pt idx="327">
                  <c:v/>
                </c:pt>
                <c:pt idx="328">
                  <c:v/>
                </c:pt>
                <c:pt idx="329">
                  <c:v/>
                </c:pt>
                <c:pt idx="330">
                  <c:v/>
                </c:pt>
                <c:pt idx="331">
                  <c:v/>
                </c:pt>
                <c:pt idx="332">
                  <c:v/>
                </c:pt>
                <c:pt idx="333">
                  <c:v/>
                </c:pt>
                <c:pt idx="334">
                  <c:v/>
                </c:pt>
                <c:pt idx="335">
                  <c:v/>
                </c:pt>
                <c:pt idx="336">
                  <c:v/>
                </c:pt>
                <c:pt idx="337">
                  <c:v/>
                </c:pt>
                <c:pt idx="338">
                  <c:v/>
                </c:pt>
                <c:pt idx="339">
                  <c:v/>
                </c:pt>
                <c:pt idx="340">
                  <c:v/>
                </c:pt>
                <c:pt idx="341">
                  <c:v/>
                </c:pt>
                <c:pt idx="342">
                  <c:v/>
                </c:pt>
                <c:pt idx="343">
                  <c:v/>
                </c:pt>
                <c:pt idx="344">
                  <c:v/>
                </c:pt>
                <c:pt idx="345">
                  <c:v/>
                </c:pt>
                <c:pt idx="346">
                  <c:v/>
                </c:pt>
                <c:pt idx="347">
                  <c:v/>
                </c:pt>
                <c:pt idx="348">
                  <c:v/>
                </c:pt>
                <c:pt idx="349">
                  <c:v/>
                </c:pt>
                <c:pt idx="350">
                  <c:v/>
                </c:pt>
                <c:pt idx="351">
                  <c:v/>
                </c:pt>
                <c:pt idx="352">
                  <c:v/>
                </c:pt>
                <c:pt idx="353">
                  <c:v/>
                </c:pt>
                <c:pt idx="354">
                  <c:v/>
                </c:pt>
                <c:pt idx="355">
                  <c:v/>
                </c:pt>
                <c:pt idx="356">
                  <c:v/>
                </c:pt>
                <c:pt idx="357">
                  <c:v/>
                </c:pt>
                <c:pt idx="358">
                  <c:v/>
                </c:pt>
                <c:pt idx="359">
                  <c:v/>
                </c:pt>
                <c:pt idx="360">
                  <c:v/>
                </c:pt>
                <c:pt idx="361">
                  <c:v/>
                </c:pt>
                <c:pt idx="362">
                  <c:v/>
                </c:pt>
                <c:pt idx="363">
                  <c:v/>
                </c:pt>
                <c:pt idx="364">
                  <c:v/>
                </c:pt>
                <c:pt idx="365">
                  <c:v/>
                </c:pt>
                <c:pt idx="366">
                  <c:v/>
                </c:pt>
                <c:pt idx="367">
                  <c:v/>
                </c:pt>
                <c:pt idx="368">
                  <c:v/>
                </c:pt>
                <c:pt idx="369">
                  <c:v/>
                </c:pt>
                <c:pt idx="370">
                  <c:v/>
                </c:pt>
                <c:pt idx="371">
                  <c:v/>
                </c:pt>
                <c:pt idx="372">
                  <c:v/>
                </c:pt>
                <c:pt idx="373">
                  <c:v/>
                </c:pt>
                <c:pt idx="374">
                  <c:v/>
                </c:pt>
                <c:pt idx="375">
                  <c:v/>
                </c:pt>
                <c:pt idx="376">
                  <c:v/>
                </c:pt>
                <c:pt idx="377">
                  <c:v/>
                </c:pt>
                <c:pt idx="378">
                  <c:v/>
                </c:pt>
                <c:pt idx="379">
                  <c:v/>
                </c:pt>
                <c:pt idx="380">
                  <c:v/>
                </c:pt>
                <c:pt idx="381">
                  <c:v/>
                </c:pt>
                <c:pt idx="382">
                  <c:v/>
                </c:pt>
                <c:pt idx="383">
                  <c:v/>
                </c:pt>
                <c:pt idx="384">
                  <c:v/>
                </c:pt>
                <c:pt idx="385">
                  <c:v/>
                </c:pt>
                <c:pt idx="386">
                  <c:v/>
                </c:pt>
                <c:pt idx="387">
                  <c:v/>
                </c:pt>
                <c:pt idx="388">
                  <c:v/>
                </c:pt>
                <c:pt idx="389">
                  <c:v/>
                </c:pt>
                <c:pt idx="390">
                  <c:v/>
                </c:pt>
                <c:pt idx="391">
                  <c:v/>
                </c:pt>
                <c:pt idx="392">
                  <c:v/>
                </c:pt>
                <c:pt idx="393">
                  <c:v/>
                </c:pt>
                <c:pt idx="394">
                  <c:v/>
                </c:pt>
                <c:pt idx="395">
                  <c:v/>
                </c:pt>
                <c:pt idx="396">
                  <c:v/>
                </c:pt>
                <c:pt idx="397">
                  <c:v/>
                </c:pt>
                <c:pt idx="398">
                  <c:v/>
                </c:pt>
                <c:pt idx="399">
                  <c:v/>
                </c:pt>
                <c:pt idx="400">
                  <c:v/>
                </c:pt>
                <c:pt idx="401">
                  <c:v/>
                </c:pt>
                <c:pt idx="402">
                  <c:v/>
                </c:pt>
                <c:pt idx="403">
                  <c:v/>
                </c:pt>
                <c:pt idx="404">
                  <c:v/>
                </c:pt>
                <c:pt idx="405">
                  <c:v/>
                </c:pt>
                <c:pt idx="406">
                  <c:v/>
                </c:pt>
                <c:pt idx="407">
                  <c:v/>
                </c:pt>
                <c:pt idx="408">
                  <c:v/>
                </c:pt>
                <c:pt idx="409">
                  <c:v/>
                </c:pt>
                <c:pt idx="410">
                  <c:v/>
                </c:pt>
                <c:pt idx="411">
                  <c:v/>
                </c:pt>
                <c:pt idx="412">
                  <c:v/>
                </c:pt>
                <c:pt idx="413">
                  <c:v/>
                </c:pt>
                <c:pt idx="414">
                  <c:v/>
                </c:pt>
                <c:pt idx="415">
                  <c:v/>
                </c:pt>
                <c:pt idx="416">
                  <c:v/>
                </c:pt>
                <c:pt idx="417">
                  <c:v/>
                </c:pt>
                <c:pt idx="418">
                  <c:v/>
                </c:pt>
                <c:pt idx="419">
                  <c:v/>
                </c:pt>
                <c:pt idx="420">
                  <c:v/>
                </c:pt>
                <c:pt idx="421">
                  <c:v/>
                </c:pt>
                <c:pt idx="422">
                  <c:v/>
                </c:pt>
                <c:pt idx="423">
                  <c:v/>
                </c:pt>
                <c:pt idx="424">
                  <c:v/>
                </c:pt>
                <c:pt idx="425">
                  <c:v/>
                </c:pt>
                <c:pt idx="426">
                  <c:v/>
                </c:pt>
                <c:pt idx="427">
                  <c:v/>
                </c:pt>
                <c:pt idx="428">
                  <c:v/>
                </c:pt>
                <c:pt idx="429">
                  <c:v/>
                </c:pt>
                <c:pt idx="430">
                  <c:v/>
                </c:pt>
                <c:pt idx="431">
                  <c:v/>
                </c:pt>
                <c:pt idx="432">
                  <c:v/>
                </c:pt>
                <c:pt idx="433">
                  <c:v/>
                </c:pt>
                <c:pt idx="434">
                  <c:v/>
                </c:pt>
                <c:pt idx="435">
                  <c:v/>
                </c:pt>
                <c:pt idx="436">
                  <c:v/>
                </c:pt>
                <c:pt idx="437">
                  <c:v/>
                </c:pt>
                <c:pt idx="438">
                  <c:v/>
                </c:pt>
                <c:pt idx="439">
                  <c:v/>
                </c:pt>
                <c:pt idx="440">
                  <c:v/>
                </c:pt>
                <c:pt idx="441">
                  <c:v/>
                </c:pt>
                <c:pt idx="442">
                  <c:v/>
                </c:pt>
                <c:pt idx="443">
                  <c:v/>
                </c:pt>
                <c:pt idx="444">
                  <c:v/>
                </c:pt>
                <c:pt idx="445">
                  <c:v/>
                </c:pt>
                <c:pt idx="446">
                  <c:v/>
                </c:pt>
                <c:pt idx="447">
                  <c:v/>
                </c:pt>
                <c:pt idx="448">
                  <c:v/>
                </c:pt>
                <c:pt idx="449">
                  <c:v/>
                </c:pt>
                <c:pt idx="450">
                  <c:v/>
                </c:pt>
                <c:pt idx="451">
                  <c:v/>
                </c:pt>
                <c:pt idx="452">
                  <c:v/>
                </c:pt>
                <c:pt idx="453">
                  <c:v/>
                </c:pt>
                <c:pt idx="454">
                  <c:v/>
                </c:pt>
                <c:pt idx="455">
                  <c:v/>
                </c:pt>
                <c:pt idx="456">
                  <c:v/>
                </c:pt>
                <c:pt idx="457">
                  <c:v/>
                </c:pt>
                <c:pt idx="458">
                  <c:v/>
                </c:pt>
                <c:pt idx="459">
                  <c:v/>
                </c:pt>
                <c:pt idx="460">
                  <c:v/>
                </c:pt>
                <c:pt idx="461">
                  <c:v/>
                </c:pt>
                <c:pt idx="462">
                  <c:v/>
                </c:pt>
                <c:pt idx="463">
                  <c:v/>
                </c:pt>
                <c:pt idx="464">
                  <c:v/>
                </c:pt>
                <c:pt idx="465">
                  <c:v/>
                </c:pt>
                <c:pt idx="466">
                  <c:v/>
                </c:pt>
                <c:pt idx="467">
                  <c:v/>
                </c:pt>
                <c:pt idx="468">
                  <c:v/>
                </c:pt>
                <c:pt idx="469">
                  <c:v/>
                </c:pt>
                <c:pt idx="470">
                  <c:v/>
                </c:pt>
                <c:pt idx="471">
                  <c:v/>
                </c:pt>
                <c:pt idx="472">
                  <c:v/>
                </c:pt>
                <c:pt idx="473">
                  <c:v/>
                </c:pt>
                <c:pt idx="474">
                  <c:v/>
                </c:pt>
                <c:pt idx="475">
                  <c:v/>
                </c:pt>
                <c:pt idx="476">
                  <c:v/>
                </c:pt>
                <c:pt idx="477">
                  <c:v/>
                </c:pt>
                <c:pt idx="478">
                  <c:v/>
                </c:pt>
                <c:pt idx="479">
                  <c:v/>
                </c:pt>
                <c:pt idx="480">
                  <c:v/>
                </c:pt>
                <c:pt idx="481">
                  <c:v/>
                </c:pt>
                <c:pt idx="482">
                  <c:v/>
                </c:pt>
                <c:pt idx="483">
                  <c:v/>
                </c:pt>
                <c:pt idx="484">
                  <c:v/>
                </c:pt>
                <c:pt idx="485">
                  <c:v/>
                </c:pt>
                <c:pt idx="486">
                  <c:v/>
                </c:pt>
                <c:pt idx="487">
                  <c:v/>
                </c:pt>
                <c:pt idx="488">
                  <c:v/>
                </c:pt>
                <c:pt idx="489">
                  <c:v/>
                </c:pt>
                <c:pt idx="490">
                  <c:v/>
                </c:pt>
                <c:pt idx="491">
                  <c:v/>
                </c:pt>
                <c:pt idx="492">
                  <c:v/>
                </c:pt>
                <c:pt idx="493">
                  <c:v/>
                </c:pt>
                <c:pt idx="494">
                  <c:v/>
                </c:pt>
                <c:pt idx="495">
                  <c:v/>
                </c:pt>
                <c:pt idx="496">
                  <c:v/>
                </c:pt>
                <c:pt idx="497">
                  <c:v/>
                </c:pt>
                <c:pt idx="498">
                  <c:v/>
                </c:pt>
              </c:strCache>
            </c:strRef>
          </c:cat>
          <c:val>
            <c:numRef>
              <c:f>Data!$C$2:$C$500</c:f>
              <c:numCache>
                <c:formatCode>General</c:formatCode>
                <c:ptCount val="499"/>
                <c:pt idx="0">
                  <c:v>1350</c:v>
                </c:pt>
                <c:pt idx="1">
                  <c:v>1350</c:v>
                </c:pt>
                <c:pt idx="2">
                  <c:v>1300</c:v>
                </c:pt>
                <c:pt idx="3">
                  <c:v>1550</c:v>
                </c:pt>
                <c:pt idx="4">
                  <c:v>1450</c:v>
                </c:pt>
                <c:pt idx="5">
                  <c:v>1300</c:v>
                </c:pt>
                <c:pt idx="6">
                  <c:v>1250</c:v>
                </c:pt>
                <c:pt idx="7">
                  <c:v>1350</c:v>
                </c:pt>
                <c:pt idx="8">
                  <c:v>1200</c:v>
                </c:pt>
                <c:pt idx="9">
                  <c:v>1050</c:v>
                </c:pt>
                <c:pt idx="10">
                  <c:v>1200</c:v>
                </c:pt>
                <c:pt idx="11">
                  <c:v>1250</c:v>
                </c:pt>
                <c:pt idx="12">
                  <c:v>1350</c:v>
                </c:pt>
                <c:pt idx="13">
                  <c:v>1350</c:v>
                </c:pt>
                <c:pt idx="14">
                  <c:v>1450</c:v>
                </c:pt>
                <c:pt idx="15">
                  <c:v>1650</c:v>
                </c:pt>
                <c:pt idx="16">
                  <c:v>1300</c:v>
                </c:pt>
                <c:pt idx="17">
                  <c:v>1300</c:v>
                </c:pt>
                <c:pt idx="18">
                  <c:v>1450</c:v>
                </c:pt>
              </c:numCache>
            </c:numRef>
          </c:val>
          <c:smooth val="0"/>
        </c:ser>
        <c:hiLowLines>
          <c:spPr>
            <a:ln w="0">
              <a:noFill/>
            </a:ln>
          </c:spPr>
        </c:hiLowLines>
        <c:marker val="1"/>
        <c:axId val="56355128"/>
        <c:axId val="86660586"/>
      </c:lineChart>
      <c:catAx>
        <c:axId val="56355128"/>
        <c:scaling>
          <c:orientation val="minMax"/>
        </c:scaling>
        <c:delete val="0"/>
        <c:axPos val="b"/>
        <c:numFmt formatCode="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660586"/>
        <c:crosses val="autoZero"/>
        <c:auto val="1"/>
        <c:lblAlgn val="ctr"/>
        <c:lblOffset val="100"/>
        <c:noMultiLvlLbl val="0"/>
      </c:catAx>
      <c:valAx>
        <c:axId val="8666058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551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Data!K1</c:f>
              <c:strCache>
                <c:ptCount val="1"/>
                <c:pt idx="0">
                  <c:v>Steps</c:v>
                </c:pt>
              </c:strCache>
            </c:strRef>
          </c:tx>
          <c:spPr>
            <a:solidFill>
              <a:srgbClr val="c0531e"/>
            </a:solidFill>
            <a:ln w="18000">
              <a:solidFill>
                <a:srgbClr val="c0531e"/>
              </a:solidFill>
              <a:round/>
            </a:ln>
          </c:spPr>
          <c:marker>
            <c:symbol val="circle"/>
            <c:size val="4"/>
            <c:spPr>
              <a:solidFill>
                <a:srgbClr val="c0531e"/>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Data!$A$2:$A$500</c:f>
              <c:strCache>
                <c:ptCount val="499"/>
                <c:pt idx="0">
                  <c:v>10-Jun-2026</c:v>
                </c:pt>
                <c:pt idx="1">
                  <c:v>11-Jun-2026</c:v>
                </c:pt>
                <c:pt idx="2">
                  <c:v>12-Jun-2026</c:v>
                </c:pt>
                <c:pt idx="3">
                  <c:v>13-Jun-2026</c:v>
                </c:pt>
                <c:pt idx="4">
                  <c:v>14-Jun-2026</c:v>
                </c:pt>
                <c:pt idx="5">
                  <c:v>15-Jun-2026</c:v>
                </c:pt>
                <c:pt idx="6">
                  <c:v>16-Jun-2026</c:v>
                </c:pt>
                <c:pt idx="7">
                  <c:v>17-Jun-2026</c:v>
                </c:pt>
                <c:pt idx="8">
                  <c:v>18-Jun-2026</c:v>
                </c:pt>
                <c:pt idx="9">
                  <c:v>19-Jun-2026</c:v>
                </c:pt>
                <c:pt idx="10">
                  <c:v>20-Jun-2026</c:v>
                </c:pt>
                <c:pt idx="11">
                  <c:v>21-Jun-2026</c:v>
                </c:pt>
                <c:pt idx="12">
                  <c:v>22-Jun-2026</c:v>
                </c:pt>
                <c:pt idx="13">
                  <c:v>23-Jun-2026</c:v>
                </c:pt>
                <c:pt idx="14">
                  <c:v>24-Jun-2026</c:v>
                </c:pt>
                <c:pt idx="15">
                  <c:v>25-Jun-2026</c:v>
                </c:pt>
                <c:pt idx="16">
                  <c:v>26-Jun-2026</c:v>
                </c:pt>
                <c:pt idx="17">
                  <c:v>27-Jun-2026</c:v>
                </c:pt>
                <c:pt idx="18">
                  <c:v>28-Jun-2026</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pt idx="240">
                  <c:v/>
                </c:pt>
                <c:pt idx="241">
                  <c:v/>
                </c:pt>
                <c:pt idx="242">
                  <c:v/>
                </c:pt>
                <c:pt idx="243">
                  <c:v/>
                </c:pt>
                <c:pt idx="244">
                  <c:v/>
                </c:pt>
                <c:pt idx="245">
                  <c:v/>
                </c:pt>
                <c:pt idx="246">
                  <c:v/>
                </c:pt>
                <c:pt idx="247">
                  <c:v/>
                </c:pt>
                <c:pt idx="248">
                  <c:v/>
                </c:pt>
                <c:pt idx="249">
                  <c:v/>
                </c:pt>
                <c:pt idx="250">
                  <c:v/>
                </c:pt>
                <c:pt idx="251">
                  <c:v/>
                </c:pt>
                <c:pt idx="252">
                  <c:v/>
                </c:pt>
                <c:pt idx="253">
                  <c:v/>
                </c:pt>
                <c:pt idx="254">
                  <c:v/>
                </c:pt>
                <c:pt idx="255">
                  <c:v/>
                </c:pt>
                <c:pt idx="256">
                  <c:v/>
                </c:pt>
                <c:pt idx="257">
                  <c:v/>
                </c:pt>
                <c:pt idx="258">
                  <c:v/>
                </c:pt>
                <c:pt idx="259">
                  <c:v/>
                </c:pt>
                <c:pt idx="260">
                  <c:v/>
                </c:pt>
                <c:pt idx="261">
                  <c:v/>
                </c:pt>
                <c:pt idx="262">
                  <c:v/>
                </c:pt>
                <c:pt idx="263">
                  <c:v/>
                </c:pt>
                <c:pt idx="264">
                  <c:v/>
                </c:pt>
                <c:pt idx="265">
                  <c:v/>
                </c:pt>
                <c:pt idx="266">
                  <c:v/>
                </c:pt>
                <c:pt idx="267">
                  <c:v/>
                </c:pt>
                <c:pt idx="268">
                  <c:v/>
                </c:pt>
                <c:pt idx="269">
                  <c:v/>
                </c:pt>
                <c:pt idx="270">
                  <c:v/>
                </c:pt>
                <c:pt idx="271">
                  <c:v/>
                </c:pt>
                <c:pt idx="272">
                  <c:v/>
                </c:pt>
                <c:pt idx="273">
                  <c:v/>
                </c:pt>
                <c:pt idx="274">
                  <c:v/>
                </c:pt>
                <c:pt idx="275">
                  <c:v/>
                </c:pt>
                <c:pt idx="276">
                  <c:v/>
                </c:pt>
                <c:pt idx="277">
                  <c:v/>
                </c:pt>
                <c:pt idx="278">
                  <c:v/>
                </c:pt>
                <c:pt idx="279">
                  <c:v/>
                </c:pt>
                <c:pt idx="280">
                  <c:v/>
                </c:pt>
                <c:pt idx="281">
                  <c:v/>
                </c:pt>
                <c:pt idx="282">
                  <c:v/>
                </c:pt>
                <c:pt idx="283">
                  <c:v/>
                </c:pt>
                <c:pt idx="284">
                  <c:v/>
                </c:pt>
                <c:pt idx="285">
                  <c:v/>
                </c:pt>
                <c:pt idx="286">
                  <c:v/>
                </c:pt>
                <c:pt idx="287">
                  <c:v/>
                </c:pt>
                <c:pt idx="288">
                  <c:v/>
                </c:pt>
                <c:pt idx="289">
                  <c:v/>
                </c:pt>
                <c:pt idx="290">
                  <c:v/>
                </c:pt>
                <c:pt idx="291">
                  <c:v/>
                </c:pt>
                <c:pt idx="292">
                  <c:v/>
                </c:pt>
                <c:pt idx="293">
                  <c:v/>
                </c:pt>
                <c:pt idx="294">
                  <c:v/>
                </c:pt>
                <c:pt idx="295">
                  <c:v/>
                </c:pt>
                <c:pt idx="296">
                  <c:v/>
                </c:pt>
                <c:pt idx="297">
                  <c:v/>
                </c:pt>
                <c:pt idx="298">
                  <c:v/>
                </c:pt>
                <c:pt idx="299">
                  <c:v/>
                </c:pt>
                <c:pt idx="300">
                  <c:v/>
                </c:pt>
                <c:pt idx="301">
                  <c:v/>
                </c:pt>
                <c:pt idx="302">
                  <c:v/>
                </c:pt>
                <c:pt idx="303">
                  <c:v/>
                </c:pt>
                <c:pt idx="304">
                  <c:v/>
                </c:pt>
                <c:pt idx="305">
                  <c:v/>
                </c:pt>
                <c:pt idx="306">
                  <c:v/>
                </c:pt>
                <c:pt idx="307">
                  <c:v/>
                </c:pt>
                <c:pt idx="308">
                  <c:v/>
                </c:pt>
                <c:pt idx="309">
                  <c:v/>
                </c:pt>
                <c:pt idx="310">
                  <c:v/>
                </c:pt>
                <c:pt idx="311">
                  <c:v/>
                </c:pt>
                <c:pt idx="312">
                  <c:v/>
                </c:pt>
                <c:pt idx="313">
                  <c:v/>
                </c:pt>
                <c:pt idx="314">
                  <c:v/>
                </c:pt>
                <c:pt idx="315">
                  <c:v/>
                </c:pt>
                <c:pt idx="316">
                  <c:v/>
                </c:pt>
                <c:pt idx="317">
                  <c:v/>
                </c:pt>
                <c:pt idx="318">
                  <c:v/>
                </c:pt>
                <c:pt idx="319">
                  <c:v/>
                </c:pt>
                <c:pt idx="320">
                  <c:v/>
                </c:pt>
                <c:pt idx="321">
                  <c:v/>
                </c:pt>
                <c:pt idx="322">
                  <c:v/>
                </c:pt>
                <c:pt idx="323">
                  <c:v/>
                </c:pt>
                <c:pt idx="324">
                  <c:v/>
                </c:pt>
                <c:pt idx="325">
                  <c:v/>
                </c:pt>
                <c:pt idx="326">
                  <c:v/>
                </c:pt>
                <c:pt idx="327">
                  <c:v/>
                </c:pt>
                <c:pt idx="328">
                  <c:v/>
                </c:pt>
                <c:pt idx="329">
                  <c:v/>
                </c:pt>
                <c:pt idx="330">
                  <c:v/>
                </c:pt>
                <c:pt idx="331">
                  <c:v/>
                </c:pt>
                <c:pt idx="332">
                  <c:v/>
                </c:pt>
                <c:pt idx="333">
                  <c:v/>
                </c:pt>
                <c:pt idx="334">
                  <c:v/>
                </c:pt>
                <c:pt idx="335">
                  <c:v/>
                </c:pt>
                <c:pt idx="336">
                  <c:v/>
                </c:pt>
                <c:pt idx="337">
                  <c:v/>
                </c:pt>
                <c:pt idx="338">
                  <c:v/>
                </c:pt>
                <c:pt idx="339">
                  <c:v/>
                </c:pt>
                <c:pt idx="340">
                  <c:v/>
                </c:pt>
                <c:pt idx="341">
                  <c:v/>
                </c:pt>
                <c:pt idx="342">
                  <c:v/>
                </c:pt>
                <c:pt idx="343">
                  <c:v/>
                </c:pt>
                <c:pt idx="344">
                  <c:v/>
                </c:pt>
                <c:pt idx="345">
                  <c:v/>
                </c:pt>
                <c:pt idx="346">
                  <c:v/>
                </c:pt>
                <c:pt idx="347">
                  <c:v/>
                </c:pt>
                <c:pt idx="348">
                  <c:v/>
                </c:pt>
                <c:pt idx="349">
                  <c:v/>
                </c:pt>
                <c:pt idx="350">
                  <c:v/>
                </c:pt>
                <c:pt idx="351">
                  <c:v/>
                </c:pt>
                <c:pt idx="352">
                  <c:v/>
                </c:pt>
                <c:pt idx="353">
                  <c:v/>
                </c:pt>
                <c:pt idx="354">
                  <c:v/>
                </c:pt>
                <c:pt idx="355">
                  <c:v/>
                </c:pt>
                <c:pt idx="356">
                  <c:v/>
                </c:pt>
                <c:pt idx="357">
                  <c:v/>
                </c:pt>
                <c:pt idx="358">
                  <c:v/>
                </c:pt>
                <c:pt idx="359">
                  <c:v/>
                </c:pt>
                <c:pt idx="360">
                  <c:v/>
                </c:pt>
                <c:pt idx="361">
                  <c:v/>
                </c:pt>
                <c:pt idx="362">
                  <c:v/>
                </c:pt>
                <c:pt idx="363">
                  <c:v/>
                </c:pt>
                <c:pt idx="364">
                  <c:v/>
                </c:pt>
                <c:pt idx="365">
                  <c:v/>
                </c:pt>
                <c:pt idx="366">
                  <c:v/>
                </c:pt>
                <c:pt idx="367">
                  <c:v/>
                </c:pt>
                <c:pt idx="368">
                  <c:v/>
                </c:pt>
                <c:pt idx="369">
                  <c:v/>
                </c:pt>
                <c:pt idx="370">
                  <c:v/>
                </c:pt>
                <c:pt idx="371">
                  <c:v/>
                </c:pt>
                <c:pt idx="372">
                  <c:v/>
                </c:pt>
                <c:pt idx="373">
                  <c:v/>
                </c:pt>
                <c:pt idx="374">
                  <c:v/>
                </c:pt>
                <c:pt idx="375">
                  <c:v/>
                </c:pt>
                <c:pt idx="376">
                  <c:v/>
                </c:pt>
                <c:pt idx="377">
                  <c:v/>
                </c:pt>
                <c:pt idx="378">
                  <c:v/>
                </c:pt>
                <c:pt idx="379">
                  <c:v/>
                </c:pt>
                <c:pt idx="380">
                  <c:v/>
                </c:pt>
                <c:pt idx="381">
                  <c:v/>
                </c:pt>
                <c:pt idx="382">
                  <c:v/>
                </c:pt>
                <c:pt idx="383">
                  <c:v/>
                </c:pt>
                <c:pt idx="384">
                  <c:v/>
                </c:pt>
                <c:pt idx="385">
                  <c:v/>
                </c:pt>
                <c:pt idx="386">
                  <c:v/>
                </c:pt>
                <c:pt idx="387">
                  <c:v/>
                </c:pt>
                <c:pt idx="388">
                  <c:v/>
                </c:pt>
                <c:pt idx="389">
                  <c:v/>
                </c:pt>
                <c:pt idx="390">
                  <c:v/>
                </c:pt>
                <c:pt idx="391">
                  <c:v/>
                </c:pt>
                <c:pt idx="392">
                  <c:v/>
                </c:pt>
                <c:pt idx="393">
                  <c:v/>
                </c:pt>
                <c:pt idx="394">
                  <c:v/>
                </c:pt>
                <c:pt idx="395">
                  <c:v/>
                </c:pt>
                <c:pt idx="396">
                  <c:v/>
                </c:pt>
                <c:pt idx="397">
                  <c:v/>
                </c:pt>
                <c:pt idx="398">
                  <c:v/>
                </c:pt>
                <c:pt idx="399">
                  <c:v/>
                </c:pt>
                <c:pt idx="400">
                  <c:v/>
                </c:pt>
                <c:pt idx="401">
                  <c:v/>
                </c:pt>
                <c:pt idx="402">
                  <c:v/>
                </c:pt>
                <c:pt idx="403">
                  <c:v/>
                </c:pt>
                <c:pt idx="404">
                  <c:v/>
                </c:pt>
                <c:pt idx="405">
                  <c:v/>
                </c:pt>
                <c:pt idx="406">
                  <c:v/>
                </c:pt>
                <c:pt idx="407">
                  <c:v/>
                </c:pt>
                <c:pt idx="408">
                  <c:v/>
                </c:pt>
                <c:pt idx="409">
                  <c:v/>
                </c:pt>
                <c:pt idx="410">
                  <c:v/>
                </c:pt>
                <c:pt idx="411">
                  <c:v/>
                </c:pt>
                <c:pt idx="412">
                  <c:v/>
                </c:pt>
                <c:pt idx="413">
                  <c:v/>
                </c:pt>
                <c:pt idx="414">
                  <c:v/>
                </c:pt>
                <c:pt idx="415">
                  <c:v/>
                </c:pt>
                <c:pt idx="416">
                  <c:v/>
                </c:pt>
                <c:pt idx="417">
                  <c:v/>
                </c:pt>
                <c:pt idx="418">
                  <c:v/>
                </c:pt>
                <c:pt idx="419">
                  <c:v/>
                </c:pt>
                <c:pt idx="420">
                  <c:v/>
                </c:pt>
                <c:pt idx="421">
                  <c:v/>
                </c:pt>
                <c:pt idx="422">
                  <c:v/>
                </c:pt>
                <c:pt idx="423">
                  <c:v/>
                </c:pt>
                <c:pt idx="424">
                  <c:v/>
                </c:pt>
                <c:pt idx="425">
                  <c:v/>
                </c:pt>
                <c:pt idx="426">
                  <c:v/>
                </c:pt>
                <c:pt idx="427">
                  <c:v/>
                </c:pt>
                <c:pt idx="428">
                  <c:v/>
                </c:pt>
                <c:pt idx="429">
                  <c:v/>
                </c:pt>
                <c:pt idx="430">
                  <c:v/>
                </c:pt>
                <c:pt idx="431">
                  <c:v/>
                </c:pt>
                <c:pt idx="432">
                  <c:v/>
                </c:pt>
                <c:pt idx="433">
                  <c:v/>
                </c:pt>
                <c:pt idx="434">
                  <c:v/>
                </c:pt>
                <c:pt idx="435">
                  <c:v/>
                </c:pt>
                <c:pt idx="436">
                  <c:v/>
                </c:pt>
                <c:pt idx="437">
                  <c:v/>
                </c:pt>
                <c:pt idx="438">
                  <c:v/>
                </c:pt>
                <c:pt idx="439">
                  <c:v/>
                </c:pt>
                <c:pt idx="440">
                  <c:v/>
                </c:pt>
                <c:pt idx="441">
                  <c:v/>
                </c:pt>
                <c:pt idx="442">
                  <c:v/>
                </c:pt>
                <c:pt idx="443">
                  <c:v/>
                </c:pt>
                <c:pt idx="444">
                  <c:v/>
                </c:pt>
                <c:pt idx="445">
                  <c:v/>
                </c:pt>
                <c:pt idx="446">
                  <c:v/>
                </c:pt>
                <c:pt idx="447">
                  <c:v/>
                </c:pt>
                <c:pt idx="448">
                  <c:v/>
                </c:pt>
                <c:pt idx="449">
                  <c:v/>
                </c:pt>
                <c:pt idx="450">
                  <c:v/>
                </c:pt>
                <c:pt idx="451">
                  <c:v/>
                </c:pt>
                <c:pt idx="452">
                  <c:v/>
                </c:pt>
                <c:pt idx="453">
                  <c:v/>
                </c:pt>
                <c:pt idx="454">
                  <c:v/>
                </c:pt>
                <c:pt idx="455">
                  <c:v/>
                </c:pt>
                <c:pt idx="456">
                  <c:v/>
                </c:pt>
                <c:pt idx="457">
                  <c:v/>
                </c:pt>
                <c:pt idx="458">
                  <c:v/>
                </c:pt>
                <c:pt idx="459">
                  <c:v/>
                </c:pt>
                <c:pt idx="460">
                  <c:v/>
                </c:pt>
                <c:pt idx="461">
                  <c:v/>
                </c:pt>
                <c:pt idx="462">
                  <c:v/>
                </c:pt>
                <c:pt idx="463">
                  <c:v/>
                </c:pt>
                <c:pt idx="464">
                  <c:v/>
                </c:pt>
                <c:pt idx="465">
                  <c:v/>
                </c:pt>
                <c:pt idx="466">
                  <c:v/>
                </c:pt>
                <c:pt idx="467">
                  <c:v/>
                </c:pt>
                <c:pt idx="468">
                  <c:v/>
                </c:pt>
                <c:pt idx="469">
                  <c:v/>
                </c:pt>
                <c:pt idx="470">
                  <c:v/>
                </c:pt>
                <c:pt idx="471">
                  <c:v/>
                </c:pt>
                <c:pt idx="472">
                  <c:v/>
                </c:pt>
                <c:pt idx="473">
                  <c:v/>
                </c:pt>
                <c:pt idx="474">
                  <c:v/>
                </c:pt>
                <c:pt idx="475">
                  <c:v/>
                </c:pt>
                <c:pt idx="476">
                  <c:v/>
                </c:pt>
                <c:pt idx="477">
                  <c:v/>
                </c:pt>
                <c:pt idx="478">
                  <c:v/>
                </c:pt>
                <c:pt idx="479">
                  <c:v/>
                </c:pt>
                <c:pt idx="480">
                  <c:v/>
                </c:pt>
                <c:pt idx="481">
                  <c:v/>
                </c:pt>
                <c:pt idx="482">
                  <c:v/>
                </c:pt>
                <c:pt idx="483">
                  <c:v/>
                </c:pt>
                <c:pt idx="484">
                  <c:v/>
                </c:pt>
                <c:pt idx="485">
                  <c:v/>
                </c:pt>
                <c:pt idx="486">
                  <c:v/>
                </c:pt>
                <c:pt idx="487">
                  <c:v/>
                </c:pt>
                <c:pt idx="488">
                  <c:v/>
                </c:pt>
                <c:pt idx="489">
                  <c:v/>
                </c:pt>
                <c:pt idx="490">
                  <c:v/>
                </c:pt>
                <c:pt idx="491">
                  <c:v/>
                </c:pt>
                <c:pt idx="492">
                  <c:v/>
                </c:pt>
                <c:pt idx="493">
                  <c:v/>
                </c:pt>
                <c:pt idx="494">
                  <c:v/>
                </c:pt>
                <c:pt idx="495">
                  <c:v/>
                </c:pt>
                <c:pt idx="496">
                  <c:v/>
                </c:pt>
                <c:pt idx="497">
                  <c:v/>
                </c:pt>
                <c:pt idx="498">
                  <c:v/>
                </c:pt>
              </c:strCache>
            </c:strRef>
          </c:cat>
          <c:val>
            <c:numRef>
              <c:f>Data!$K$2:$K$500</c:f>
              <c:numCache>
                <c:formatCode>General</c:formatCode>
                <c:ptCount val="499"/>
                <c:pt idx="0">
                  <c:v>3500</c:v>
                </c:pt>
                <c:pt idx="1">
                  <c:v>4300</c:v>
                </c:pt>
                <c:pt idx="2">
                  <c:v>3024</c:v>
                </c:pt>
                <c:pt idx="3">
                  <c:v>3000</c:v>
                </c:pt>
                <c:pt idx="4">
                  <c:v>4105</c:v>
                </c:pt>
                <c:pt idx="5">
                  <c:v>4500</c:v>
                </c:pt>
                <c:pt idx="6">
                  <c:v>4000</c:v>
                </c:pt>
                <c:pt idx="7">
                  <c:v>4000</c:v>
                </c:pt>
                <c:pt idx="8">
                  <c:v>4598</c:v>
                </c:pt>
                <c:pt idx="9">
                  <c:v>3037</c:v>
                </c:pt>
                <c:pt idx="10">
                  <c:v>3037</c:v>
                </c:pt>
                <c:pt idx="11">
                  <c:v>4800</c:v>
                </c:pt>
                <c:pt idx="12">
                  <c:v>4000</c:v>
                </c:pt>
                <c:pt idx="13">
                  <c:v>6957</c:v>
                </c:pt>
                <c:pt idx="14">
                  <c:v>6500</c:v>
                </c:pt>
                <c:pt idx="15">
                  <c:v>10123</c:v>
                </c:pt>
                <c:pt idx="16">
                  <c:v>3256</c:v>
                </c:pt>
                <c:pt idx="17">
                  <c:v>6456</c:v>
                </c:pt>
                <c:pt idx="18">
                  <c:v>5209</c:v>
                </c:pt>
              </c:numCache>
            </c:numRef>
          </c:val>
          <c:smooth val="0"/>
        </c:ser>
        <c:hiLowLines>
          <c:spPr>
            <a:ln w="0">
              <a:noFill/>
            </a:ln>
          </c:spPr>
        </c:hiLowLines>
        <c:marker val="1"/>
        <c:axId val="22188513"/>
        <c:axId val="68770603"/>
      </c:lineChart>
      <c:catAx>
        <c:axId val="22188513"/>
        <c:scaling>
          <c:orientation val="minMax"/>
        </c:scaling>
        <c:delete val="0"/>
        <c:axPos val="b"/>
        <c:numFmt formatCode="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770603"/>
        <c:crosses val="autoZero"/>
        <c:auto val="1"/>
        <c:lblAlgn val="ctr"/>
        <c:lblOffset val="100"/>
        <c:noMultiLvlLbl val="0"/>
      </c:catAx>
      <c:valAx>
        <c:axId val="6877060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1885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7</xdr:col>
      <xdr:colOff>599040</xdr:colOff>
      <xdr:row>21</xdr:row>
      <xdr:rowOff>208440</xdr:rowOff>
    </xdr:to>
    <xdr:graphicFrame>
      <xdr:nvGraphicFramePr>
        <xdr:cNvPr id="0" name="Chart 1"/>
        <xdr:cNvGraphicFramePr/>
      </xdr:nvGraphicFramePr>
      <xdr:xfrm>
        <a:off x="70560" y="2000160"/>
        <a:ext cx="503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13</xdr:col>
      <xdr:colOff>599040</xdr:colOff>
      <xdr:row>21</xdr:row>
      <xdr:rowOff>208440</xdr:rowOff>
    </xdr:to>
    <xdr:graphicFrame>
      <xdr:nvGraphicFramePr>
        <xdr:cNvPr id="1" name="Chart 2"/>
        <xdr:cNvGraphicFramePr/>
      </xdr:nvGraphicFramePr>
      <xdr:xfrm>
        <a:off x="4511160" y="2000160"/>
        <a:ext cx="503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9</xdr:row>
      <xdr:rowOff>0</xdr:rowOff>
    </xdr:from>
    <xdr:to>
      <xdr:col>20</xdr:col>
      <xdr:colOff>58320</xdr:colOff>
      <xdr:row>21</xdr:row>
      <xdr:rowOff>208440</xdr:rowOff>
    </xdr:to>
    <xdr:graphicFrame>
      <xdr:nvGraphicFramePr>
        <xdr:cNvPr id="2" name="Chart 3"/>
        <xdr:cNvGraphicFramePr/>
      </xdr:nvGraphicFramePr>
      <xdr:xfrm>
        <a:off x="8951760" y="2000160"/>
        <a:ext cx="5039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blData" displayName="tblData" ref="A1:P500" headerRowCount="1" totalsRowCount="0" totalsRowShown="0">
  <autoFilter ref="A1:P500"/>
  <tableColumns count="16">
    <tableColumn id="1" name="Date"/>
    <tableColumn id="2" name="Week"/>
    <tableColumn id="3" name="Calories Intake"/>
    <tableColumn id="4" name="Calories Burnt"/>
    <tableColumn id="5" name="Net Calories"/>
    <tableColumn id="6" name="Protein (g)"/>
    <tableColumn id="7" name="Carbs (g)"/>
    <tableColumn id="8" name="Fats (g)"/>
    <tableColumn id="9" name="Fiber (g)"/>
    <tableColumn id="10" name="Fiber Rating"/>
    <tableColumn id="11" name="Steps"/>
    <tableColumn id="12" name="Sleep (hrs)"/>
    <tableColumn id="13" name="Energy"/>
    <tableColumn id="14" name="Digestion"/>
    <tableColumn id="15" name="Workout"/>
    <tableColumn id="16"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5" min="3" style="0" width="12"/>
    <col collapsed="false" customWidth="true" hidden="false" outlineLevel="0" max="6" min="6" style="0" width="10"/>
    <col collapsed="false" customWidth="true" hidden="false" outlineLevel="0" max="9" min="7" style="0" width="9"/>
    <col collapsed="false" customWidth="true" hidden="false" outlineLevel="0" max="10" min="10" style="0" width="12"/>
    <col collapsed="false" customWidth="true" hidden="false" outlineLevel="0" max="11" min="11" style="0" width="9"/>
    <col collapsed="false" customWidth="true" hidden="false" outlineLevel="0" max="12" min="12" style="0" width="10"/>
    <col collapsed="false" customWidth="true" hidden="false" outlineLevel="0" max="13" min="13" style="0" width="9"/>
    <col collapsed="false" customWidth="true" hidden="false" outlineLevel="0" max="14" min="14" style="0" width="10"/>
    <col collapsed="false" customWidth="true" hidden="false" outlineLevel="0" max="15" min="15" style="0" width="9"/>
    <col collapsed="false" customWidth="true" hidden="false" outlineLevel="0" max="16" min="16" style="0" width="38"/>
    <col collapsed="false" customWidth="true" hidden="false" outlineLevel="0" max="18" min="17" style="0" width="8"/>
    <col collapsed="false" customWidth="true" hidden="false" outlineLevel="0" max="19" min="19" style="0" width="14"/>
  </cols>
  <sheetData>
    <row r="1" customFormat="false" ht="22.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S1" s="2" t="s">
        <v>16</v>
      </c>
    </row>
    <row r="2" customFormat="false" ht="15" hidden="false" customHeight="false" outlineLevel="0" collapsed="false">
      <c r="A2" s="3" t="n">
        <v>46183</v>
      </c>
      <c r="B2" s="4" t="n">
        <f aca="false">IF(A2="","",INT((A2-$S$2)/7)+1)</f>
        <v>1</v>
      </c>
      <c r="C2" s="0" t="n">
        <v>1350</v>
      </c>
      <c r="D2" s="0" t="n">
        <v>120</v>
      </c>
      <c r="E2" s="0" t="n">
        <v>1230</v>
      </c>
      <c r="F2" s="0" t="n">
        <v>45</v>
      </c>
      <c r="G2" s="0" t="n">
        <v>185</v>
      </c>
      <c r="H2" s="0" t="n">
        <v>35</v>
      </c>
      <c r="I2" s="0" t="n">
        <v>18</v>
      </c>
      <c r="J2" s="4" t="s">
        <v>17</v>
      </c>
      <c r="K2" s="0" t="n">
        <v>3500</v>
      </c>
      <c r="L2" s="0" t="n">
        <v>6</v>
      </c>
      <c r="M2" s="4" t="s">
        <v>18</v>
      </c>
      <c r="N2" s="4" t="s">
        <v>19</v>
      </c>
      <c r="O2" s="4" t="s">
        <v>20</v>
      </c>
      <c r="P2" s="4" t="s">
        <v>21</v>
      </c>
      <c r="S2" s="3" t="n">
        <v>46183</v>
      </c>
    </row>
    <row r="3" customFormat="false" ht="15" hidden="false" customHeight="false" outlineLevel="0" collapsed="false">
      <c r="A3" s="3" t="n">
        <v>46184</v>
      </c>
      <c r="B3" s="4" t="n">
        <f aca="false">IF(A3="","",INT((A3-$S$2)/7)+1)</f>
        <v>1</v>
      </c>
      <c r="C3" s="0" t="n">
        <v>1350</v>
      </c>
      <c r="D3" s="0" t="n">
        <v>150</v>
      </c>
      <c r="E3" s="0" t="n">
        <v>1200</v>
      </c>
      <c r="F3" s="0" t="n">
        <v>38</v>
      </c>
      <c r="G3" s="0" t="n">
        <v>215</v>
      </c>
      <c r="H3" s="0" t="n">
        <v>28</v>
      </c>
      <c r="I3" s="0" t="n">
        <v>18</v>
      </c>
      <c r="J3" s="4" t="s">
        <v>17</v>
      </c>
      <c r="K3" s="0" t="n">
        <v>4300</v>
      </c>
      <c r="L3" s="0" t="n">
        <v>5</v>
      </c>
      <c r="M3" s="4" t="s">
        <v>22</v>
      </c>
      <c r="N3" s="4" t="s">
        <v>19</v>
      </c>
      <c r="O3" s="4" t="s">
        <v>20</v>
      </c>
      <c r="P3" s="4" t="s">
        <v>23</v>
      </c>
    </row>
    <row r="4" customFormat="false" ht="15" hidden="false" customHeight="false" outlineLevel="0" collapsed="false">
      <c r="A4" s="3" t="n">
        <v>46185</v>
      </c>
      <c r="B4" s="4" t="n">
        <f aca="false">IF(A4="","",INT((A4-$S$2)/7)+1)</f>
        <v>1</v>
      </c>
      <c r="C4" s="0" t="n">
        <v>1300</v>
      </c>
      <c r="D4" s="0" t="n">
        <v>105</v>
      </c>
      <c r="E4" s="0" t="n">
        <v>1195</v>
      </c>
      <c r="F4" s="0" t="n">
        <v>42</v>
      </c>
      <c r="G4" s="0" t="n">
        <v>195</v>
      </c>
      <c r="H4" s="0" t="n">
        <v>25</v>
      </c>
      <c r="I4" s="0" t="n">
        <v>24</v>
      </c>
      <c r="J4" s="4" t="s">
        <v>19</v>
      </c>
      <c r="K4" s="0" t="n">
        <v>3024</v>
      </c>
      <c r="L4" s="0" t="n">
        <v>7</v>
      </c>
      <c r="M4" s="4" t="s">
        <v>19</v>
      </c>
      <c r="N4" s="4" t="s">
        <v>19</v>
      </c>
      <c r="O4" s="4" t="s">
        <v>20</v>
      </c>
      <c r="P4" s="4" t="s">
        <v>24</v>
      </c>
    </row>
    <row r="5" customFormat="false" ht="15" hidden="false" customHeight="false" outlineLevel="0" collapsed="false">
      <c r="A5" s="3" t="n">
        <v>46186</v>
      </c>
      <c r="B5" s="4" t="n">
        <f aca="false">IF(A5="","",INT((A5-$S$2)/7)+1)</f>
        <v>1</v>
      </c>
      <c r="C5" s="0" t="n">
        <v>1550</v>
      </c>
      <c r="D5" s="0" t="n">
        <v>105</v>
      </c>
      <c r="E5" s="0" t="n">
        <v>1445</v>
      </c>
      <c r="F5" s="0" t="n">
        <v>35</v>
      </c>
      <c r="G5" s="0" t="n">
        <v>235</v>
      </c>
      <c r="H5" s="0" t="n">
        <v>45</v>
      </c>
      <c r="I5" s="0" t="n">
        <v>15</v>
      </c>
      <c r="J5" s="4" t="s">
        <v>25</v>
      </c>
      <c r="K5" s="0" t="n">
        <v>3000</v>
      </c>
      <c r="L5" s="0" t="n">
        <v>8</v>
      </c>
      <c r="M5" s="4" t="s">
        <v>19</v>
      </c>
      <c r="N5" s="4" t="s">
        <v>19</v>
      </c>
      <c r="O5" s="4" t="s">
        <v>20</v>
      </c>
      <c r="P5" s="4" t="s">
        <v>26</v>
      </c>
    </row>
    <row r="6" customFormat="false" ht="15" hidden="false" customHeight="false" outlineLevel="0" collapsed="false">
      <c r="A6" s="3" t="n">
        <v>46187</v>
      </c>
      <c r="B6" s="4" t="n">
        <f aca="false">IF(A6="","",INT((A6-$S$2)/7)+1)</f>
        <v>1</v>
      </c>
      <c r="C6" s="0" t="n">
        <v>1450</v>
      </c>
      <c r="D6" s="0" t="n">
        <v>145</v>
      </c>
      <c r="E6" s="0" t="n">
        <v>1305</v>
      </c>
      <c r="F6" s="0" t="n">
        <v>48</v>
      </c>
      <c r="G6" s="0" t="n">
        <v>185</v>
      </c>
      <c r="H6" s="0" t="n">
        <v>50</v>
      </c>
      <c r="I6" s="0" t="n">
        <v>18</v>
      </c>
      <c r="J6" s="4" t="s">
        <v>17</v>
      </c>
      <c r="K6" s="0" t="n">
        <v>4105</v>
      </c>
      <c r="L6" s="0" t="n">
        <v>5</v>
      </c>
      <c r="M6" s="4" t="s">
        <v>19</v>
      </c>
      <c r="N6" s="4" t="s">
        <v>19</v>
      </c>
      <c r="O6" s="4" t="s">
        <v>20</v>
      </c>
      <c r="P6" s="4" t="s">
        <v>27</v>
      </c>
    </row>
    <row r="7" customFormat="false" ht="15" hidden="false" customHeight="false" outlineLevel="0" collapsed="false">
      <c r="A7" s="3" t="n">
        <v>46188</v>
      </c>
      <c r="B7" s="4" t="n">
        <f aca="false">IF(A7="","",INT((A7-$S$2)/7)+1)</f>
        <v>1</v>
      </c>
      <c r="C7" s="0" t="n">
        <v>1300</v>
      </c>
      <c r="D7" s="0" t="n">
        <v>160</v>
      </c>
      <c r="E7" s="0" t="n">
        <v>1140</v>
      </c>
      <c r="F7" s="0" t="n">
        <v>42</v>
      </c>
      <c r="G7" s="0" t="n">
        <v>185</v>
      </c>
      <c r="H7" s="0" t="n">
        <v>28</v>
      </c>
      <c r="I7" s="0" t="n">
        <v>24</v>
      </c>
      <c r="J7" s="4" t="s">
        <v>19</v>
      </c>
      <c r="K7" s="0" t="n">
        <v>4500</v>
      </c>
      <c r="L7" s="0" t="n">
        <v>5.5</v>
      </c>
      <c r="M7" s="4" t="s">
        <v>19</v>
      </c>
      <c r="N7" s="4" t="s">
        <v>19</v>
      </c>
      <c r="O7" s="4" t="s">
        <v>20</v>
      </c>
      <c r="P7" s="4" t="s">
        <v>28</v>
      </c>
    </row>
    <row r="8" customFormat="false" ht="15" hidden="false" customHeight="false" outlineLevel="0" collapsed="false">
      <c r="A8" s="3" t="n">
        <v>46189</v>
      </c>
      <c r="B8" s="4" t="n">
        <f aca="false">IF(A8="","",INT((A8-$S$2)/7)+1)</f>
        <v>1</v>
      </c>
      <c r="C8" s="0" t="n">
        <v>1250</v>
      </c>
      <c r="D8" s="0" t="n">
        <v>140</v>
      </c>
      <c r="E8" s="0" t="n">
        <v>1110</v>
      </c>
      <c r="F8" s="0" t="n">
        <v>35</v>
      </c>
      <c r="G8" s="0" t="n">
        <v>180</v>
      </c>
      <c r="H8" s="0" t="n">
        <v>30</v>
      </c>
      <c r="I8" s="0" t="n">
        <v>22</v>
      </c>
      <c r="J8" s="4" t="s">
        <v>19</v>
      </c>
      <c r="K8" s="0" t="n">
        <v>4000</v>
      </c>
      <c r="L8" s="0" t="n">
        <v>5</v>
      </c>
      <c r="M8" s="4" t="s">
        <v>19</v>
      </c>
      <c r="N8" s="4" t="s">
        <v>19</v>
      </c>
      <c r="O8" s="4" t="s">
        <v>20</v>
      </c>
      <c r="P8" s="4" t="s">
        <v>29</v>
      </c>
    </row>
    <row r="9" customFormat="false" ht="15" hidden="false" customHeight="false" outlineLevel="0" collapsed="false">
      <c r="A9" s="3" t="n">
        <v>46190</v>
      </c>
      <c r="B9" s="4" t="n">
        <f aca="false">IF(A9="","",INT((A9-$S$2)/7)+1)</f>
        <v>2</v>
      </c>
      <c r="C9" s="0" t="n">
        <v>1350</v>
      </c>
      <c r="D9" s="0" t="n">
        <v>145</v>
      </c>
      <c r="E9" s="0" t="n">
        <v>1205</v>
      </c>
      <c r="F9" s="0" t="n">
        <v>40</v>
      </c>
      <c r="G9" s="0" t="n">
        <v>210</v>
      </c>
      <c r="H9" s="0" t="n">
        <v>25</v>
      </c>
      <c r="I9" s="0" t="n">
        <v>22</v>
      </c>
      <c r="J9" s="4" t="s">
        <v>19</v>
      </c>
      <c r="K9" s="0" t="n">
        <v>4000</v>
      </c>
      <c r="L9" s="0" t="n">
        <v>6</v>
      </c>
      <c r="M9" s="4" t="s">
        <v>19</v>
      </c>
      <c r="N9" s="4" t="s">
        <v>19</v>
      </c>
      <c r="O9" s="4" t="s">
        <v>20</v>
      </c>
      <c r="P9" s="4" t="s">
        <v>30</v>
      </c>
    </row>
    <row r="10" customFormat="false" ht="15" hidden="false" customHeight="false" outlineLevel="0" collapsed="false">
      <c r="A10" s="3" t="n">
        <v>46191</v>
      </c>
      <c r="B10" s="4" t="n">
        <f aca="false">IF(A10="","",INT((A10-$S$2)/7)+1)</f>
        <v>2</v>
      </c>
      <c r="C10" s="0" t="n">
        <v>1200</v>
      </c>
      <c r="D10" s="0" t="n">
        <v>165</v>
      </c>
      <c r="E10" s="0" t="n">
        <v>1035</v>
      </c>
      <c r="F10" s="0" t="n">
        <v>30</v>
      </c>
      <c r="G10" s="0" t="n">
        <v>175</v>
      </c>
      <c r="H10" s="0" t="n">
        <v>28</v>
      </c>
      <c r="I10" s="0" t="n">
        <v>16</v>
      </c>
      <c r="J10" s="4" t="s">
        <v>17</v>
      </c>
      <c r="K10" s="0" t="n">
        <v>4598</v>
      </c>
      <c r="L10" s="0" t="n">
        <v>6</v>
      </c>
      <c r="M10" s="4" t="s">
        <v>19</v>
      </c>
      <c r="N10" s="4" t="s">
        <v>19</v>
      </c>
      <c r="O10" s="4" t="s">
        <v>20</v>
      </c>
      <c r="P10" s="4" t="s">
        <v>31</v>
      </c>
    </row>
    <row r="11" customFormat="false" ht="15" hidden="false" customHeight="false" outlineLevel="0" collapsed="false">
      <c r="A11" s="3" t="n">
        <v>46192</v>
      </c>
      <c r="B11" s="4" t="n">
        <f aca="false">IF(A11="","",INT((A11-$S$2)/7)+1)</f>
        <v>2</v>
      </c>
      <c r="C11" s="0" t="n">
        <v>1050</v>
      </c>
      <c r="D11" s="0" t="n">
        <v>110</v>
      </c>
      <c r="E11" s="0" t="n">
        <v>940</v>
      </c>
      <c r="F11" s="0" t="n">
        <v>22</v>
      </c>
      <c r="G11" s="0" t="n">
        <v>165</v>
      </c>
      <c r="H11" s="0" t="n">
        <v>18</v>
      </c>
      <c r="I11" s="0" t="n">
        <v>12</v>
      </c>
      <c r="J11" s="4" t="s">
        <v>25</v>
      </c>
      <c r="K11" s="0" t="n">
        <v>3037</v>
      </c>
      <c r="L11" s="0" t="n">
        <v>5</v>
      </c>
      <c r="M11" s="4" t="s">
        <v>19</v>
      </c>
      <c r="N11" s="4" t="s">
        <v>19</v>
      </c>
      <c r="O11" s="4" t="s">
        <v>20</v>
      </c>
      <c r="P11" s="4" t="s">
        <v>32</v>
      </c>
    </row>
    <row r="12" customFormat="false" ht="15" hidden="false" customHeight="false" outlineLevel="0" collapsed="false">
      <c r="A12" s="3" t="n">
        <v>46193</v>
      </c>
      <c r="B12" s="4" t="n">
        <f aca="false">IF(A12="","",INT((A12-$S$2)/7)+1)</f>
        <v>2</v>
      </c>
      <c r="C12" s="0" t="n">
        <v>1200</v>
      </c>
      <c r="D12" s="0" t="n">
        <v>110</v>
      </c>
      <c r="E12" s="0" t="n">
        <v>1090</v>
      </c>
      <c r="F12" s="0" t="n">
        <v>32</v>
      </c>
      <c r="G12" s="0" t="n">
        <v>175</v>
      </c>
      <c r="H12" s="0" t="n">
        <v>25</v>
      </c>
      <c r="I12" s="0" t="n">
        <v>18</v>
      </c>
      <c r="J12" s="4" t="s">
        <v>17</v>
      </c>
      <c r="K12" s="0" t="n">
        <v>3037</v>
      </c>
      <c r="L12" s="0" t="n">
        <v>5</v>
      </c>
      <c r="M12" s="4" t="s">
        <v>19</v>
      </c>
      <c r="N12" s="4" t="s">
        <v>19</v>
      </c>
      <c r="O12" s="4" t="s">
        <v>20</v>
      </c>
      <c r="P12" s="4" t="s">
        <v>33</v>
      </c>
    </row>
    <row r="13" customFormat="false" ht="15" hidden="false" customHeight="false" outlineLevel="0" collapsed="false">
      <c r="A13" s="3" t="n">
        <v>46194</v>
      </c>
      <c r="B13" s="4" t="n">
        <f aca="false">IF(A13="","",INT((A13-$S$2)/7)+1)</f>
        <v>2</v>
      </c>
      <c r="C13" s="0" t="n">
        <v>1250</v>
      </c>
      <c r="D13" s="0" t="n">
        <v>175</v>
      </c>
      <c r="E13" s="0" t="n">
        <v>1075</v>
      </c>
      <c r="F13" s="0" t="n">
        <v>35</v>
      </c>
      <c r="G13" s="0" t="n">
        <v>180</v>
      </c>
      <c r="H13" s="0" t="n">
        <v>28</v>
      </c>
      <c r="I13" s="0" t="n">
        <v>22</v>
      </c>
      <c r="J13" s="4" t="s">
        <v>19</v>
      </c>
      <c r="K13" s="0" t="n">
        <v>4800</v>
      </c>
      <c r="L13" s="0" t="n">
        <v>6</v>
      </c>
      <c r="M13" s="4" t="s">
        <v>19</v>
      </c>
      <c r="N13" s="4" t="s">
        <v>19</v>
      </c>
      <c r="O13" s="4" t="s">
        <v>20</v>
      </c>
      <c r="P13" s="4" t="s">
        <v>34</v>
      </c>
    </row>
    <row r="14" customFormat="false" ht="15" hidden="false" customHeight="false" outlineLevel="0" collapsed="false">
      <c r="A14" s="3" t="n">
        <v>46195</v>
      </c>
      <c r="B14" s="4" t="n">
        <f aca="false">IF(A14="","",INT((A14-$S$2)/7)+1)</f>
        <v>2</v>
      </c>
      <c r="C14" s="0" t="n">
        <v>1350</v>
      </c>
      <c r="D14" s="0" t="n">
        <v>145</v>
      </c>
      <c r="E14" s="0" t="n">
        <v>1205</v>
      </c>
      <c r="F14" s="0" t="n">
        <v>42</v>
      </c>
      <c r="G14" s="0" t="n">
        <v>190</v>
      </c>
      <c r="H14" s="0" t="n">
        <v>30</v>
      </c>
      <c r="I14" s="0" t="n">
        <v>24</v>
      </c>
      <c r="J14" s="4" t="s">
        <v>19</v>
      </c>
      <c r="K14" s="0" t="n">
        <v>4000</v>
      </c>
      <c r="L14" s="0" t="n">
        <v>5</v>
      </c>
      <c r="M14" s="4" t="s">
        <v>19</v>
      </c>
      <c r="N14" s="4" t="s">
        <v>19</v>
      </c>
      <c r="O14" s="4" t="s">
        <v>20</v>
      </c>
      <c r="P14" s="4" t="s">
        <v>35</v>
      </c>
    </row>
    <row r="15" customFormat="false" ht="15" hidden="false" customHeight="false" outlineLevel="0" collapsed="false">
      <c r="A15" s="3" t="n">
        <v>46196</v>
      </c>
      <c r="B15" s="4" t="n">
        <f aca="false">IF(A15="","",INT((A15-$S$2)/7)+1)</f>
        <v>2</v>
      </c>
      <c r="C15" s="0" t="n">
        <v>1350</v>
      </c>
      <c r="D15" s="0" t="n">
        <v>250</v>
      </c>
      <c r="E15" s="0" t="n">
        <v>1100</v>
      </c>
      <c r="F15" s="0" t="n">
        <v>38</v>
      </c>
      <c r="G15" s="0" t="n">
        <v>195</v>
      </c>
      <c r="H15" s="0" t="n">
        <v>28</v>
      </c>
      <c r="I15" s="0" t="n">
        <v>22</v>
      </c>
      <c r="J15" s="4" t="s">
        <v>19</v>
      </c>
      <c r="K15" s="0" t="n">
        <v>6957</v>
      </c>
      <c r="L15" s="0" t="n">
        <v>5</v>
      </c>
      <c r="M15" s="4" t="s">
        <v>19</v>
      </c>
      <c r="N15" s="4" t="s">
        <v>19</v>
      </c>
      <c r="O15" s="4" t="s">
        <v>20</v>
      </c>
      <c r="P15" s="4" t="s">
        <v>36</v>
      </c>
    </row>
    <row r="16" customFormat="false" ht="15" hidden="false" customHeight="false" outlineLevel="0" collapsed="false">
      <c r="A16" s="3" t="n">
        <v>46197</v>
      </c>
      <c r="B16" s="4" t="n">
        <f aca="false">IF(A16="","",INT((A16-$S$2)/7)+1)</f>
        <v>3</v>
      </c>
      <c r="C16" s="0" t="n">
        <v>1450</v>
      </c>
      <c r="D16" s="0" t="n">
        <v>235</v>
      </c>
      <c r="E16" s="0" t="n">
        <v>1215</v>
      </c>
      <c r="F16" s="0" t="n">
        <v>58</v>
      </c>
      <c r="G16" s="0" t="n">
        <v>185</v>
      </c>
      <c r="H16" s="0" t="n">
        <v>30</v>
      </c>
      <c r="I16" s="0" t="n">
        <v>25</v>
      </c>
      <c r="J16" s="4" t="s">
        <v>37</v>
      </c>
      <c r="K16" s="0" t="n">
        <v>6500</v>
      </c>
      <c r="L16" s="0" t="n">
        <v>5</v>
      </c>
      <c r="M16" s="4" t="s">
        <v>19</v>
      </c>
      <c r="N16" s="4" t="s">
        <v>19</v>
      </c>
      <c r="O16" s="4" t="s">
        <v>20</v>
      </c>
      <c r="P16" s="4" t="s">
        <v>38</v>
      </c>
    </row>
    <row r="17" customFormat="false" ht="15" hidden="false" customHeight="false" outlineLevel="0" collapsed="false">
      <c r="A17" s="3" t="n">
        <v>46198</v>
      </c>
      <c r="B17" s="4" t="n">
        <f aca="false">IF(A17="","",INT((A17-$S$2)/7)+1)</f>
        <v>3</v>
      </c>
      <c r="C17" s="0" t="n">
        <v>1650</v>
      </c>
      <c r="D17" s="0" t="n">
        <v>365</v>
      </c>
      <c r="E17" s="0" t="n">
        <v>1285</v>
      </c>
      <c r="F17" s="0" t="n">
        <v>65</v>
      </c>
      <c r="G17" s="0" t="n">
        <v>165</v>
      </c>
      <c r="H17" s="0" t="n">
        <v>65</v>
      </c>
      <c r="I17" s="0" t="n">
        <v>22</v>
      </c>
      <c r="J17" s="4" t="s">
        <v>19</v>
      </c>
      <c r="K17" s="0" t="n">
        <v>10123</v>
      </c>
      <c r="L17" s="0" t="n">
        <v>6</v>
      </c>
      <c r="M17" s="4" t="s">
        <v>19</v>
      </c>
      <c r="N17" s="4" t="s">
        <v>19</v>
      </c>
      <c r="O17" s="4" t="s">
        <v>20</v>
      </c>
      <c r="P17" s="4" t="s">
        <v>39</v>
      </c>
    </row>
    <row r="18" customFormat="false" ht="15" hidden="false" customHeight="false" outlineLevel="0" collapsed="false">
      <c r="A18" s="3" t="n">
        <v>46199</v>
      </c>
      <c r="B18" s="4" t="n">
        <f aca="false">IF(A18="","",INT((A18-$S$2)/7)+1)</f>
        <v>3</v>
      </c>
      <c r="C18" s="0" t="n">
        <v>1300</v>
      </c>
      <c r="D18" s="0" t="n">
        <v>120</v>
      </c>
      <c r="E18" s="0" t="n">
        <v>1180</v>
      </c>
      <c r="F18" s="0" t="n">
        <v>42</v>
      </c>
      <c r="G18" s="0" t="n">
        <v>180</v>
      </c>
      <c r="H18" s="0" t="n">
        <v>28</v>
      </c>
      <c r="I18" s="0" t="n">
        <v>18</v>
      </c>
      <c r="J18" s="4" t="s">
        <v>17</v>
      </c>
      <c r="K18" s="0" t="n">
        <v>3256</v>
      </c>
      <c r="L18" s="0" t="n">
        <v>5</v>
      </c>
      <c r="M18" s="4" t="s">
        <v>19</v>
      </c>
      <c r="N18" s="4" t="s">
        <v>19</v>
      </c>
      <c r="O18" s="4" t="s">
        <v>20</v>
      </c>
      <c r="P18" s="4" t="s">
        <v>40</v>
      </c>
    </row>
    <row r="19" customFormat="false" ht="15" hidden="false" customHeight="false" outlineLevel="0" collapsed="false">
      <c r="A19" s="3" t="n">
        <v>46200</v>
      </c>
      <c r="B19" s="4" t="n">
        <f aca="false">IF(A19="","",INT((A19-$S$2)/7)+1)</f>
        <v>3</v>
      </c>
      <c r="C19" s="0" t="n">
        <v>1300</v>
      </c>
      <c r="D19" s="0" t="n">
        <v>230</v>
      </c>
      <c r="E19" s="0" t="n">
        <v>1070</v>
      </c>
      <c r="F19" s="0" t="n">
        <v>48</v>
      </c>
      <c r="G19" s="0" t="n">
        <v>175</v>
      </c>
      <c r="H19" s="0" t="n">
        <v>28</v>
      </c>
      <c r="I19" s="0" t="n">
        <v>24</v>
      </c>
      <c r="J19" s="4" t="s">
        <v>19</v>
      </c>
      <c r="K19" s="0" t="n">
        <v>6456</v>
      </c>
      <c r="L19" s="0" t="n">
        <v>7</v>
      </c>
      <c r="M19" s="4" t="s">
        <v>19</v>
      </c>
      <c r="N19" s="4" t="s">
        <v>19</v>
      </c>
      <c r="O19" s="4" t="s">
        <v>20</v>
      </c>
      <c r="P19" s="4" t="s">
        <v>41</v>
      </c>
    </row>
    <row r="20" customFormat="false" ht="15" hidden="false" customHeight="false" outlineLevel="0" collapsed="false">
      <c r="A20" s="3" t="n">
        <v>46201</v>
      </c>
      <c r="B20" s="4" t="n">
        <f aca="false">IF(A20="","",INT((A20-$S$2)/7)+1)</f>
        <v>3</v>
      </c>
      <c r="C20" s="0" t="n">
        <v>1450</v>
      </c>
      <c r="D20" s="0" t="n">
        <v>190</v>
      </c>
      <c r="E20" s="0" t="n">
        <v>1260</v>
      </c>
      <c r="F20" s="0" t="n">
        <v>62</v>
      </c>
      <c r="G20" s="0" t="n">
        <v>165</v>
      </c>
      <c r="H20" s="0" t="n">
        <v>42</v>
      </c>
      <c r="I20" s="0" t="n">
        <v>27</v>
      </c>
      <c r="J20" s="4" t="s">
        <v>37</v>
      </c>
      <c r="K20" s="0" t="n">
        <v>5209</v>
      </c>
      <c r="L20" s="0" t="n">
        <v>5</v>
      </c>
      <c r="M20" s="4" t="s">
        <v>19</v>
      </c>
      <c r="N20" s="4" t="s">
        <v>19</v>
      </c>
      <c r="O20" s="4" t="s">
        <v>20</v>
      </c>
      <c r="P20" s="4" t="s">
        <v>42</v>
      </c>
    </row>
    <row r="21" customFormat="false" ht="15" hidden="false" customHeight="false" outlineLevel="0" collapsed="false">
      <c r="A21" s="3"/>
      <c r="B21" s="0" t="str">
        <f aca="false">IF(A21="","",INT((A21-$S$2)/7)+1)</f>
        <v/>
      </c>
    </row>
    <row r="22" customFormat="false" ht="15" hidden="false" customHeight="false" outlineLevel="0" collapsed="false">
      <c r="A22" s="3"/>
      <c r="B22" s="0" t="str">
        <f aca="false">IF(A22="","",INT((A22-$S$2)/7)+1)</f>
        <v/>
      </c>
    </row>
    <row r="23" customFormat="false" ht="15" hidden="false" customHeight="false" outlineLevel="0" collapsed="false">
      <c r="A23" s="3"/>
      <c r="B23" s="0" t="str">
        <f aca="false">IF(A23="","",INT((A23-$S$2)/7)+1)</f>
        <v/>
      </c>
    </row>
    <row r="24" customFormat="false" ht="15" hidden="false" customHeight="false" outlineLevel="0" collapsed="false">
      <c r="A24" s="3"/>
      <c r="B24" s="0" t="str">
        <f aca="false">IF(A24="","",INT((A24-$S$2)/7)+1)</f>
        <v/>
      </c>
    </row>
    <row r="25" customFormat="false" ht="15" hidden="false" customHeight="false" outlineLevel="0" collapsed="false">
      <c r="A25" s="3"/>
      <c r="B25" s="0" t="str">
        <f aca="false">IF(A25="","",INT((A25-$S$2)/7)+1)</f>
        <v/>
      </c>
    </row>
    <row r="26" customFormat="false" ht="15" hidden="false" customHeight="false" outlineLevel="0" collapsed="false">
      <c r="A26" s="3"/>
      <c r="B26" s="0" t="str">
        <f aca="false">IF(A26="","",INT((A26-$S$2)/7)+1)</f>
        <v/>
      </c>
    </row>
    <row r="27" customFormat="false" ht="15" hidden="false" customHeight="false" outlineLevel="0" collapsed="false">
      <c r="A27" s="3"/>
      <c r="B27" s="0" t="str">
        <f aca="false">IF(A27="","",INT((A27-$S$2)/7)+1)</f>
        <v/>
      </c>
    </row>
    <row r="28" customFormat="false" ht="15" hidden="false" customHeight="false" outlineLevel="0" collapsed="false">
      <c r="A28" s="3"/>
      <c r="B28" s="0" t="str">
        <f aca="false">IF(A28="","",INT((A28-$S$2)/7)+1)</f>
        <v/>
      </c>
    </row>
    <row r="29" customFormat="false" ht="15" hidden="false" customHeight="false" outlineLevel="0" collapsed="false">
      <c r="A29" s="3"/>
      <c r="B29" s="0" t="str">
        <f aca="false">IF(A29="","",INT((A29-$S$2)/7)+1)</f>
        <v/>
      </c>
    </row>
    <row r="30" customFormat="false" ht="15" hidden="false" customHeight="false" outlineLevel="0" collapsed="false">
      <c r="A30" s="3"/>
      <c r="B30" s="0" t="str">
        <f aca="false">IF(A30="","",INT((A30-$S$2)/7)+1)</f>
        <v/>
      </c>
    </row>
    <row r="31" customFormat="false" ht="15" hidden="false" customHeight="false" outlineLevel="0" collapsed="false">
      <c r="A31" s="3"/>
      <c r="B31" s="0" t="str">
        <f aca="false">IF(A31="","",INT((A31-$S$2)/7)+1)</f>
        <v/>
      </c>
    </row>
    <row r="32" customFormat="false" ht="15" hidden="false" customHeight="false" outlineLevel="0" collapsed="false">
      <c r="A32" s="3"/>
      <c r="B32" s="0" t="str">
        <f aca="false">IF(A32="","",INT((A32-$S$2)/7)+1)</f>
        <v/>
      </c>
    </row>
    <row r="33" customFormat="false" ht="15" hidden="false" customHeight="false" outlineLevel="0" collapsed="false">
      <c r="A33" s="3"/>
      <c r="B33" s="0" t="str">
        <f aca="false">IF(A33="","",INT((A33-$S$2)/7)+1)</f>
        <v/>
      </c>
    </row>
    <row r="34" customFormat="false" ht="15" hidden="false" customHeight="false" outlineLevel="0" collapsed="false">
      <c r="A34" s="3"/>
      <c r="B34" s="0" t="str">
        <f aca="false">IF(A34="","",INT((A34-$S$2)/7)+1)</f>
        <v/>
      </c>
    </row>
    <row r="35" customFormat="false" ht="15" hidden="false" customHeight="false" outlineLevel="0" collapsed="false">
      <c r="A35" s="3"/>
      <c r="B35" s="0" t="str">
        <f aca="false">IF(A35="","",INT((A35-$S$2)/7)+1)</f>
        <v/>
      </c>
    </row>
    <row r="36" customFormat="false" ht="15" hidden="false" customHeight="false" outlineLevel="0" collapsed="false">
      <c r="A36" s="3"/>
      <c r="B36" s="0" t="str">
        <f aca="false">IF(A36="","",INT((A36-$S$2)/7)+1)</f>
        <v/>
      </c>
    </row>
    <row r="37" customFormat="false" ht="15" hidden="false" customHeight="false" outlineLevel="0" collapsed="false">
      <c r="A37" s="3"/>
      <c r="B37" s="0" t="str">
        <f aca="false">IF(A37="","",INT((A37-$S$2)/7)+1)</f>
        <v/>
      </c>
    </row>
    <row r="38" customFormat="false" ht="15" hidden="false" customHeight="false" outlineLevel="0" collapsed="false">
      <c r="A38" s="3"/>
      <c r="B38" s="0" t="str">
        <f aca="false">IF(A38="","",INT((A38-$S$2)/7)+1)</f>
        <v/>
      </c>
    </row>
    <row r="39" customFormat="false" ht="15" hidden="false" customHeight="false" outlineLevel="0" collapsed="false">
      <c r="A39" s="3"/>
      <c r="B39" s="0" t="str">
        <f aca="false">IF(A39="","",INT((A39-$S$2)/7)+1)</f>
        <v/>
      </c>
    </row>
    <row r="40" customFormat="false" ht="15" hidden="false" customHeight="false" outlineLevel="0" collapsed="false">
      <c r="A40" s="3"/>
      <c r="B40" s="0" t="str">
        <f aca="false">IF(A40="","",INT((A40-$S$2)/7)+1)</f>
        <v/>
      </c>
    </row>
    <row r="41" customFormat="false" ht="15" hidden="false" customHeight="false" outlineLevel="0" collapsed="false">
      <c r="A41" s="3"/>
      <c r="B41" s="0" t="str">
        <f aca="false">IF(A41="","",INT((A41-$S$2)/7)+1)</f>
        <v/>
      </c>
    </row>
    <row r="42" customFormat="false" ht="15" hidden="false" customHeight="false" outlineLevel="0" collapsed="false">
      <c r="A42" s="3"/>
      <c r="B42" s="0" t="str">
        <f aca="false">IF(A42="","",INT((A42-$S$2)/7)+1)</f>
        <v/>
      </c>
    </row>
    <row r="43" customFormat="false" ht="15" hidden="false" customHeight="false" outlineLevel="0" collapsed="false">
      <c r="A43" s="3"/>
      <c r="B43" s="0" t="str">
        <f aca="false">IF(A43="","",INT((A43-$S$2)/7)+1)</f>
        <v/>
      </c>
    </row>
    <row r="44" customFormat="false" ht="15" hidden="false" customHeight="false" outlineLevel="0" collapsed="false">
      <c r="A44" s="3"/>
      <c r="B44" s="0" t="str">
        <f aca="false">IF(A44="","",INT((A44-$S$2)/7)+1)</f>
        <v/>
      </c>
    </row>
    <row r="45" customFormat="false" ht="15" hidden="false" customHeight="false" outlineLevel="0" collapsed="false">
      <c r="A45" s="3"/>
      <c r="B45" s="0" t="str">
        <f aca="false">IF(A45="","",INT((A45-$S$2)/7)+1)</f>
        <v/>
      </c>
    </row>
    <row r="46" customFormat="false" ht="15" hidden="false" customHeight="false" outlineLevel="0" collapsed="false">
      <c r="A46" s="3"/>
      <c r="B46" s="0" t="str">
        <f aca="false">IF(A46="","",INT((A46-$S$2)/7)+1)</f>
        <v/>
      </c>
    </row>
    <row r="47" customFormat="false" ht="15" hidden="false" customHeight="false" outlineLevel="0" collapsed="false">
      <c r="A47" s="3"/>
      <c r="B47" s="0" t="str">
        <f aca="false">IF(A47="","",INT((A47-$S$2)/7)+1)</f>
        <v/>
      </c>
    </row>
    <row r="48" customFormat="false" ht="15" hidden="false" customHeight="false" outlineLevel="0" collapsed="false">
      <c r="A48" s="3"/>
      <c r="B48" s="0" t="str">
        <f aca="false">IF(A48="","",INT((A48-$S$2)/7)+1)</f>
        <v/>
      </c>
    </row>
    <row r="49" customFormat="false" ht="15" hidden="false" customHeight="false" outlineLevel="0" collapsed="false">
      <c r="A49" s="3"/>
      <c r="B49" s="0" t="str">
        <f aca="false">IF(A49="","",INT((A49-$S$2)/7)+1)</f>
        <v/>
      </c>
    </row>
    <row r="50" customFormat="false" ht="15" hidden="false" customHeight="false" outlineLevel="0" collapsed="false">
      <c r="A50" s="3"/>
      <c r="B50" s="0" t="str">
        <f aca="false">IF(A50="","",INT((A50-$S$2)/7)+1)</f>
        <v/>
      </c>
    </row>
    <row r="51" customFormat="false" ht="15" hidden="false" customHeight="false" outlineLevel="0" collapsed="false">
      <c r="A51" s="3"/>
      <c r="B51" s="0" t="str">
        <f aca="false">IF(A51="","",INT((A51-$S$2)/7)+1)</f>
        <v/>
      </c>
    </row>
    <row r="52" customFormat="false" ht="15" hidden="false" customHeight="false" outlineLevel="0" collapsed="false">
      <c r="A52" s="3"/>
      <c r="B52" s="0" t="str">
        <f aca="false">IF(A52="","",INT((A52-$S$2)/7)+1)</f>
        <v/>
      </c>
    </row>
    <row r="53" customFormat="false" ht="15" hidden="false" customHeight="false" outlineLevel="0" collapsed="false">
      <c r="A53" s="3"/>
      <c r="B53" s="0" t="str">
        <f aca="false">IF(A53="","",INT((A53-$S$2)/7)+1)</f>
        <v/>
      </c>
    </row>
    <row r="54" customFormat="false" ht="15" hidden="false" customHeight="false" outlineLevel="0" collapsed="false">
      <c r="A54" s="3"/>
      <c r="B54" s="0" t="str">
        <f aca="false">IF(A54="","",INT((A54-$S$2)/7)+1)</f>
        <v/>
      </c>
    </row>
    <row r="55" customFormat="false" ht="15" hidden="false" customHeight="false" outlineLevel="0" collapsed="false">
      <c r="A55" s="3"/>
      <c r="B55" s="0" t="str">
        <f aca="false">IF(A55="","",INT((A55-$S$2)/7)+1)</f>
        <v/>
      </c>
    </row>
    <row r="56" customFormat="false" ht="15" hidden="false" customHeight="false" outlineLevel="0" collapsed="false">
      <c r="A56" s="3"/>
      <c r="B56" s="0" t="str">
        <f aca="false">IF(A56="","",INT((A56-$S$2)/7)+1)</f>
        <v/>
      </c>
    </row>
    <row r="57" customFormat="false" ht="15" hidden="false" customHeight="false" outlineLevel="0" collapsed="false">
      <c r="A57" s="3"/>
      <c r="B57" s="0" t="str">
        <f aca="false">IF(A57="","",INT((A57-$S$2)/7)+1)</f>
        <v/>
      </c>
    </row>
    <row r="58" customFormat="false" ht="15" hidden="false" customHeight="false" outlineLevel="0" collapsed="false">
      <c r="A58" s="3"/>
      <c r="B58" s="0" t="str">
        <f aca="false">IF(A58="","",INT((A58-$S$2)/7)+1)</f>
        <v/>
      </c>
    </row>
    <row r="59" customFormat="false" ht="15" hidden="false" customHeight="false" outlineLevel="0" collapsed="false">
      <c r="A59" s="3"/>
      <c r="B59" s="0" t="str">
        <f aca="false">IF(A59="","",INT((A59-$S$2)/7)+1)</f>
        <v/>
      </c>
    </row>
    <row r="60" customFormat="false" ht="15" hidden="false" customHeight="false" outlineLevel="0" collapsed="false">
      <c r="A60" s="3"/>
      <c r="B60" s="0" t="str">
        <f aca="false">IF(A60="","",INT((A60-$S$2)/7)+1)</f>
        <v/>
      </c>
    </row>
    <row r="61" customFormat="false" ht="15" hidden="false" customHeight="false" outlineLevel="0" collapsed="false">
      <c r="A61" s="3"/>
      <c r="B61" s="0" t="str">
        <f aca="false">IF(A61="","",INT((A61-$S$2)/7)+1)</f>
        <v/>
      </c>
    </row>
    <row r="62" customFormat="false" ht="15" hidden="false" customHeight="false" outlineLevel="0" collapsed="false">
      <c r="A62" s="3"/>
      <c r="B62" s="0" t="str">
        <f aca="false">IF(A62="","",INT((A62-$S$2)/7)+1)</f>
        <v/>
      </c>
    </row>
    <row r="63" customFormat="false" ht="15" hidden="false" customHeight="false" outlineLevel="0" collapsed="false">
      <c r="A63" s="3"/>
      <c r="B63" s="0" t="str">
        <f aca="false">IF(A63="","",INT((A63-$S$2)/7)+1)</f>
        <v/>
      </c>
    </row>
    <row r="64" customFormat="false" ht="15" hidden="false" customHeight="false" outlineLevel="0" collapsed="false">
      <c r="A64" s="3"/>
      <c r="B64" s="0" t="str">
        <f aca="false">IF(A64="","",INT((A64-$S$2)/7)+1)</f>
        <v/>
      </c>
    </row>
    <row r="65" customFormat="false" ht="15" hidden="false" customHeight="false" outlineLevel="0" collapsed="false">
      <c r="A65" s="3"/>
      <c r="B65" s="0" t="str">
        <f aca="false">IF(A65="","",INT((A65-$S$2)/7)+1)</f>
        <v/>
      </c>
    </row>
    <row r="66" customFormat="false" ht="15" hidden="false" customHeight="false" outlineLevel="0" collapsed="false">
      <c r="A66" s="3"/>
      <c r="B66" s="0" t="str">
        <f aca="false">IF(A66="","",INT((A66-$S$2)/7)+1)</f>
        <v/>
      </c>
    </row>
    <row r="67" customFormat="false" ht="15" hidden="false" customHeight="false" outlineLevel="0" collapsed="false">
      <c r="A67" s="3"/>
      <c r="B67" s="0" t="str">
        <f aca="false">IF(A67="","",INT((A67-$S$2)/7)+1)</f>
        <v/>
      </c>
    </row>
    <row r="68" customFormat="false" ht="15" hidden="false" customHeight="false" outlineLevel="0" collapsed="false">
      <c r="A68" s="3"/>
      <c r="B68" s="0" t="str">
        <f aca="false">IF(A68="","",INT((A68-$S$2)/7)+1)</f>
        <v/>
      </c>
    </row>
    <row r="69" customFormat="false" ht="15" hidden="false" customHeight="false" outlineLevel="0" collapsed="false">
      <c r="A69" s="3"/>
      <c r="B69" s="0" t="str">
        <f aca="false">IF(A69="","",INT((A69-$S$2)/7)+1)</f>
        <v/>
      </c>
    </row>
    <row r="70" customFormat="false" ht="15" hidden="false" customHeight="false" outlineLevel="0" collapsed="false">
      <c r="A70" s="3"/>
      <c r="B70" s="0" t="str">
        <f aca="false">IF(A70="","",INT((A70-$S$2)/7)+1)</f>
        <v/>
      </c>
    </row>
    <row r="71" customFormat="false" ht="15" hidden="false" customHeight="false" outlineLevel="0" collapsed="false">
      <c r="A71" s="3"/>
      <c r="B71" s="0" t="str">
        <f aca="false">IF(A71="","",INT((A71-$S$2)/7)+1)</f>
        <v/>
      </c>
    </row>
    <row r="72" customFormat="false" ht="15" hidden="false" customHeight="false" outlineLevel="0" collapsed="false">
      <c r="A72" s="3"/>
      <c r="B72" s="0" t="str">
        <f aca="false">IF(A72="","",INT((A72-$S$2)/7)+1)</f>
        <v/>
      </c>
    </row>
    <row r="73" customFormat="false" ht="15" hidden="false" customHeight="false" outlineLevel="0" collapsed="false">
      <c r="A73" s="3"/>
      <c r="B73" s="0" t="str">
        <f aca="false">IF(A73="","",INT((A73-$S$2)/7)+1)</f>
        <v/>
      </c>
    </row>
    <row r="74" customFormat="false" ht="15" hidden="false" customHeight="false" outlineLevel="0" collapsed="false">
      <c r="A74" s="3"/>
      <c r="B74" s="0" t="str">
        <f aca="false">IF(A74="","",INT((A74-$S$2)/7)+1)</f>
        <v/>
      </c>
    </row>
    <row r="75" customFormat="false" ht="15" hidden="false" customHeight="false" outlineLevel="0" collapsed="false">
      <c r="A75" s="3"/>
      <c r="B75" s="0" t="str">
        <f aca="false">IF(A75="","",INT((A75-$S$2)/7)+1)</f>
        <v/>
      </c>
    </row>
    <row r="76" customFormat="false" ht="15" hidden="false" customHeight="false" outlineLevel="0" collapsed="false">
      <c r="A76" s="3"/>
      <c r="B76" s="0" t="str">
        <f aca="false">IF(A76="","",INT((A76-$S$2)/7)+1)</f>
        <v/>
      </c>
    </row>
    <row r="77" customFormat="false" ht="15" hidden="false" customHeight="false" outlineLevel="0" collapsed="false">
      <c r="A77" s="3"/>
      <c r="B77" s="0" t="str">
        <f aca="false">IF(A77="","",INT((A77-$S$2)/7)+1)</f>
        <v/>
      </c>
    </row>
    <row r="78" customFormat="false" ht="15" hidden="false" customHeight="false" outlineLevel="0" collapsed="false">
      <c r="A78" s="3"/>
      <c r="B78" s="0" t="str">
        <f aca="false">IF(A78="","",INT((A78-$S$2)/7)+1)</f>
        <v/>
      </c>
    </row>
    <row r="79" customFormat="false" ht="15" hidden="false" customHeight="false" outlineLevel="0" collapsed="false">
      <c r="A79" s="3"/>
      <c r="B79" s="0" t="str">
        <f aca="false">IF(A79="","",INT((A79-$S$2)/7)+1)</f>
        <v/>
      </c>
    </row>
    <row r="80" customFormat="false" ht="15" hidden="false" customHeight="false" outlineLevel="0" collapsed="false">
      <c r="A80" s="3"/>
      <c r="B80" s="0" t="str">
        <f aca="false">IF(A80="","",INT((A80-$S$2)/7)+1)</f>
        <v/>
      </c>
    </row>
    <row r="81" customFormat="false" ht="15" hidden="false" customHeight="false" outlineLevel="0" collapsed="false">
      <c r="A81" s="3"/>
      <c r="B81" s="0" t="str">
        <f aca="false">IF(A81="","",INT((A81-$S$2)/7)+1)</f>
        <v/>
      </c>
    </row>
    <row r="82" customFormat="false" ht="15" hidden="false" customHeight="false" outlineLevel="0" collapsed="false">
      <c r="A82" s="3"/>
      <c r="B82" s="0" t="str">
        <f aca="false">IF(A82="","",INT((A82-$S$2)/7)+1)</f>
        <v/>
      </c>
    </row>
    <row r="83" customFormat="false" ht="15" hidden="false" customHeight="false" outlineLevel="0" collapsed="false">
      <c r="A83" s="3"/>
      <c r="B83" s="0" t="str">
        <f aca="false">IF(A83="","",INT((A83-$S$2)/7)+1)</f>
        <v/>
      </c>
    </row>
    <row r="84" customFormat="false" ht="15" hidden="false" customHeight="false" outlineLevel="0" collapsed="false">
      <c r="A84" s="3"/>
      <c r="B84" s="0" t="str">
        <f aca="false">IF(A84="","",INT((A84-$S$2)/7)+1)</f>
        <v/>
      </c>
    </row>
    <row r="85" customFormat="false" ht="15" hidden="false" customHeight="false" outlineLevel="0" collapsed="false">
      <c r="A85" s="3"/>
      <c r="B85" s="0" t="str">
        <f aca="false">IF(A85="","",INT((A85-$S$2)/7)+1)</f>
        <v/>
      </c>
    </row>
    <row r="86" customFormat="false" ht="15" hidden="false" customHeight="false" outlineLevel="0" collapsed="false">
      <c r="A86" s="3"/>
      <c r="B86" s="0" t="str">
        <f aca="false">IF(A86="","",INT((A86-$S$2)/7)+1)</f>
        <v/>
      </c>
    </row>
    <row r="87" customFormat="false" ht="15" hidden="false" customHeight="false" outlineLevel="0" collapsed="false">
      <c r="A87" s="3"/>
      <c r="B87" s="0" t="str">
        <f aca="false">IF(A87="","",INT((A87-$S$2)/7)+1)</f>
        <v/>
      </c>
    </row>
    <row r="88" customFormat="false" ht="15" hidden="false" customHeight="false" outlineLevel="0" collapsed="false">
      <c r="A88" s="3"/>
      <c r="B88" s="0" t="str">
        <f aca="false">IF(A88="","",INT((A88-$S$2)/7)+1)</f>
        <v/>
      </c>
    </row>
    <row r="89" customFormat="false" ht="15" hidden="false" customHeight="false" outlineLevel="0" collapsed="false">
      <c r="A89" s="3"/>
      <c r="B89" s="0" t="str">
        <f aca="false">IF(A89="","",INT((A89-$S$2)/7)+1)</f>
        <v/>
      </c>
    </row>
    <row r="90" customFormat="false" ht="15" hidden="false" customHeight="false" outlineLevel="0" collapsed="false">
      <c r="A90" s="3"/>
      <c r="B90" s="0" t="str">
        <f aca="false">IF(A90="","",INT((A90-$S$2)/7)+1)</f>
        <v/>
      </c>
    </row>
    <row r="91" customFormat="false" ht="15" hidden="false" customHeight="false" outlineLevel="0" collapsed="false">
      <c r="A91" s="3"/>
      <c r="B91" s="0" t="str">
        <f aca="false">IF(A91="","",INT((A91-$S$2)/7)+1)</f>
        <v/>
      </c>
    </row>
    <row r="92" customFormat="false" ht="15" hidden="false" customHeight="false" outlineLevel="0" collapsed="false">
      <c r="A92" s="3"/>
      <c r="B92" s="0" t="str">
        <f aca="false">IF(A92="","",INT((A92-$S$2)/7)+1)</f>
        <v/>
      </c>
    </row>
    <row r="93" customFormat="false" ht="15" hidden="false" customHeight="false" outlineLevel="0" collapsed="false">
      <c r="A93" s="3"/>
      <c r="B93" s="0" t="str">
        <f aca="false">IF(A93="","",INT((A93-$S$2)/7)+1)</f>
        <v/>
      </c>
    </row>
    <row r="94" customFormat="false" ht="15" hidden="false" customHeight="false" outlineLevel="0" collapsed="false">
      <c r="A94" s="3"/>
      <c r="B94" s="0" t="str">
        <f aca="false">IF(A94="","",INT((A94-$S$2)/7)+1)</f>
        <v/>
      </c>
    </row>
    <row r="95" customFormat="false" ht="15" hidden="false" customHeight="false" outlineLevel="0" collapsed="false">
      <c r="A95" s="3"/>
      <c r="B95" s="0" t="str">
        <f aca="false">IF(A95="","",INT((A95-$S$2)/7)+1)</f>
        <v/>
      </c>
    </row>
    <row r="96" customFormat="false" ht="15" hidden="false" customHeight="false" outlineLevel="0" collapsed="false">
      <c r="A96" s="3"/>
      <c r="B96" s="0" t="str">
        <f aca="false">IF(A96="","",INT((A96-$S$2)/7)+1)</f>
        <v/>
      </c>
    </row>
    <row r="97" customFormat="false" ht="15" hidden="false" customHeight="false" outlineLevel="0" collapsed="false">
      <c r="A97" s="3"/>
      <c r="B97" s="0" t="str">
        <f aca="false">IF(A97="","",INT((A97-$S$2)/7)+1)</f>
        <v/>
      </c>
    </row>
    <row r="98" customFormat="false" ht="15" hidden="false" customHeight="false" outlineLevel="0" collapsed="false">
      <c r="A98" s="3"/>
      <c r="B98" s="0" t="str">
        <f aca="false">IF(A98="","",INT((A98-$S$2)/7)+1)</f>
        <v/>
      </c>
    </row>
    <row r="99" customFormat="false" ht="15" hidden="false" customHeight="false" outlineLevel="0" collapsed="false">
      <c r="A99" s="3"/>
      <c r="B99" s="0" t="str">
        <f aca="false">IF(A99="","",INT((A99-$S$2)/7)+1)</f>
        <v/>
      </c>
    </row>
    <row r="100" customFormat="false" ht="15" hidden="false" customHeight="false" outlineLevel="0" collapsed="false">
      <c r="A100" s="3"/>
      <c r="B100" s="0" t="str">
        <f aca="false">IF(A100="","",INT((A100-$S$2)/7)+1)</f>
        <v/>
      </c>
    </row>
    <row r="101" customFormat="false" ht="15" hidden="false" customHeight="false" outlineLevel="0" collapsed="false">
      <c r="A101" s="3"/>
      <c r="B101" s="0" t="str">
        <f aca="false">IF(A101="","",INT((A101-$S$2)/7)+1)</f>
        <v/>
      </c>
    </row>
    <row r="102" customFormat="false" ht="15" hidden="false" customHeight="false" outlineLevel="0" collapsed="false">
      <c r="A102" s="3"/>
      <c r="B102" s="0" t="str">
        <f aca="false">IF(A102="","",INT((A102-$S$2)/7)+1)</f>
        <v/>
      </c>
    </row>
    <row r="103" customFormat="false" ht="15" hidden="false" customHeight="false" outlineLevel="0" collapsed="false">
      <c r="A103" s="3"/>
      <c r="B103" s="0" t="str">
        <f aca="false">IF(A103="","",INT((A103-$S$2)/7)+1)</f>
        <v/>
      </c>
    </row>
    <row r="104" customFormat="false" ht="15" hidden="false" customHeight="false" outlineLevel="0" collapsed="false">
      <c r="A104" s="3"/>
      <c r="B104" s="0" t="str">
        <f aca="false">IF(A104="","",INT((A104-$S$2)/7)+1)</f>
        <v/>
      </c>
    </row>
    <row r="105" customFormat="false" ht="15" hidden="false" customHeight="false" outlineLevel="0" collapsed="false">
      <c r="A105" s="3"/>
      <c r="B105" s="0" t="str">
        <f aca="false">IF(A105="","",INT((A105-$S$2)/7)+1)</f>
        <v/>
      </c>
    </row>
    <row r="106" customFormat="false" ht="15" hidden="false" customHeight="false" outlineLevel="0" collapsed="false">
      <c r="A106" s="3"/>
      <c r="B106" s="0" t="str">
        <f aca="false">IF(A106="","",INT((A106-$S$2)/7)+1)</f>
        <v/>
      </c>
    </row>
    <row r="107" customFormat="false" ht="15" hidden="false" customHeight="false" outlineLevel="0" collapsed="false">
      <c r="A107" s="3"/>
      <c r="B107" s="0" t="str">
        <f aca="false">IF(A107="","",INT((A107-$S$2)/7)+1)</f>
        <v/>
      </c>
    </row>
    <row r="108" customFormat="false" ht="15" hidden="false" customHeight="false" outlineLevel="0" collapsed="false">
      <c r="A108" s="3"/>
      <c r="B108" s="0" t="str">
        <f aca="false">IF(A108="","",INT((A108-$S$2)/7)+1)</f>
        <v/>
      </c>
    </row>
    <row r="109" customFormat="false" ht="15" hidden="false" customHeight="false" outlineLevel="0" collapsed="false">
      <c r="A109" s="3"/>
      <c r="B109" s="0" t="str">
        <f aca="false">IF(A109="","",INT((A109-$S$2)/7)+1)</f>
        <v/>
      </c>
    </row>
    <row r="110" customFormat="false" ht="15" hidden="false" customHeight="false" outlineLevel="0" collapsed="false">
      <c r="A110" s="3"/>
      <c r="B110" s="0" t="str">
        <f aca="false">IF(A110="","",INT((A110-$S$2)/7)+1)</f>
        <v/>
      </c>
    </row>
    <row r="111" customFormat="false" ht="15" hidden="false" customHeight="false" outlineLevel="0" collapsed="false">
      <c r="A111" s="3"/>
      <c r="B111" s="0" t="str">
        <f aca="false">IF(A111="","",INT((A111-$S$2)/7)+1)</f>
        <v/>
      </c>
    </row>
    <row r="112" customFormat="false" ht="15" hidden="false" customHeight="false" outlineLevel="0" collapsed="false">
      <c r="A112" s="3"/>
      <c r="B112" s="0" t="str">
        <f aca="false">IF(A112="","",INT((A112-$S$2)/7)+1)</f>
        <v/>
      </c>
    </row>
    <row r="113" customFormat="false" ht="15" hidden="false" customHeight="false" outlineLevel="0" collapsed="false">
      <c r="A113" s="3"/>
      <c r="B113" s="0" t="str">
        <f aca="false">IF(A113="","",INT((A113-$S$2)/7)+1)</f>
        <v/>
      </c>
    </row>
    <row r="114" customFormat="false" ht="15" hidden="false" customHeight="false" outlineLevel="0" collapsed="false">
      <c r="A114" s="3"/>
      <c r="B114" s="0" t="str">
        <f aca="false">IF(A114="","",INT((A114-$S$2)/7)+1)</f>
        <v/>
      </c>
    </row>
    <row r="115" customFormat="false" ht="15" hidden="false" customHeight="false" outlineLevel="0" collapsed="false">
      <c r="A115" s="3"/>
      <c r="B115" s="0" t="str">
        <f aca="false">IF(A115="","",INT((A115-$S$2)/7)+1)</f>
        <v/>
      </c>
    </row>
    <row r="116" customFormat="false" ht="15" hidden="false" customHeight="false" outlineLevel="0" collapsed="false">
      <c r="A116" s="3"/>
      <c r="B116" s="0" t="str">
        <f aca="false">IF(A116="","",INT((A116-$S$2)/7)+1)</f>
        <v/>
      </c>
    </row>
    <row r="117" customFormat="false" ht="15" hidden="false" customHeight="false" outlineLevel="0" collapsed="false">
      <c r="A117" s="3"/>
      <c r="B117" s="0" t="str">
        <f aca="false">IF(A117="","",INT((A117-$S$2)/7)+1)</f>
        <v/>
      </c>
    </row>
    <row r="118" customFormat="false" ht="15" hidden="false" customHeight="false" outlineLevel="0" collapsed="false">
      <c r="A118" s="3"/>
      <c r="B118" s="0" t="str">
        <f aca="false">IF(A118="","",INT((A118-$S$2)/7)+1)</f>
        <v/>
      </c>
    </row>
    <row r="119" customFormat="false" ht="15" hidden="false" customHeight="false" outlineLevel="0" collapsed="false">
      <c r="A119" s="3"/>
      <c r="B119" s="0" t="str">
        <f aca="false">IF(A119="","",INT((A119-$S$2)/7)+1)</f>
        <v/>
      </c>
    </row>
    <row r="120" customFormat="false" ht="15" hidden="false" customHeight="false" outlineLevel="0" collapsed="false">
      <c r="A120" s="3"/>
      <c r="B120" s="0" t="str">
        <f aca="false">IF(A120="","",INT((A120-$S$2)/7)+1)</f>
        <v/>
      </c>
    </row>
    <row r="121" customFormat="false" ht="15" hidden="false" customHeight="false" outlineLevel="0" collapsed="false">
      <c r="A121" s="3"/>
      <c r="B121" s="0" t="str">
        <f aca="false">IF(A121="","",INT((A121-$S$2)/7)+1)</f>
        <v/>
      </c>
    </row>
    <row r="122" customFormat="false" ht="15" hidden="false" customHeight="false" outlineLevel="0" collapsed="false">
      <c r="A122" s="3"/>
      <c r="B122" s="0" t="str">
        <f aca="false">IF(A122="","",INT((A122-$S$2)/7)+1)</f>
        <v/>
      </c>
    </row>
    <row r="123" customFormat="false" ht="15" hidden="false" customHeight="false" outlineLevel="0" collapsed="false">
      <c r="A123" s="3"/>
      <c r="B123" s="0" t="str">
        <f aca="false">IF(A123="","",INT((A123-$S$2)/7)+1)</f>
        <v/>
      </c>
    </row>
    <row r="124" customFormat="false" ht="15" hidden="false" customHeight="false" outlineLevel="0" collapsed="false">
      <c r="A124" s="3"/>
      <c r="B124" s="0" t="str">
        <f aca="false">IF(A124="","",INT((A124-$S$2)/7)+1)</f>
        <v/>
      </c>
    </row>
    <row r="125" customFormat="false" ht="15" hidden="false" customHeight="false" outlineLevel="0" collapsed="false">
      <c r="A125" s="3"/>
      <c r="B125" s="0" t="str">
        <f aca="false">IF(A125="","",INT((A125-$S$2)/7)+1)</f>
        <v/>
      </c>
    </row>
    <row r="126" customFormat="false" ht="15" hidden="false" customHeight="false" outlineLevel="0" collapsed="false">
      <c r="A126" s="3"/>
      <c r="B126" s="0" t="str">
        <f aca="false">IF(A126="","",INT((A126-$S$2)/7)+1)</f>
        <v/>
      </c>
    </row>
    <row r="127" customFormat="false" ht="15" hidden="false" customHeight="false" outlineLevel="0" collapsed="false">
      <c r="A127" s="3"/>
      <c r="B127" s="0" t="str">
        <f aca="false">IF(A127="","",INT((A127-$S$2)/7)+1)</f>
        <v/>
      </c>
    </row>
    <row r="128" customFormat="false" ht="15" hidden="false" customHeight="false" outlineLevel="0" collapsed="false">
      <c r="A128" s="3"/>
      <c r="B128" s="0" t="str">
        <f aca="false">IF(A128="","",INT((A128-$S$2)/7)+1)</f>
        <v/>
      </c>
    </row>
    <row r="129" customFormat="false" ht="15" hidden="false" customHeight="false" outlineLevel="0" collapsed="false">
      <c r="A129" s="3"/>
      <c r="B129" s="0" t="str">
        <f aca="false">IF(A129="","",INT((A129-$S$2)/7)+1)</f>
        <v/>
      </c>
    </row>
    <row r="130" customFormat="false" ht="15" hidden="false" customHeight="false" outlineLevel="0" collapsed="false">
      <c r="A130" s="3"/>
      <c r="B130" s="0" t="str">
        <f aca="false">IF(A130="","",INT((A130-$S$2)/7)+1)</f>
        <v/>
      </c>
    </row>
    <row r="131" customFormat="false" ht="15" hidden="false" customHeight="false" outlineLevel="0" collapsed="false">
      <c r="A131" s="3"/>
      <c r="B131" s="0" t="str">
        <f aca="false">IF(A131="","",INT((A131-$S$2)/7)+1)</f>
        <v/>
      </c>
    </row>
    <row r="132" customFormat="false" ht="15" hidden="false" customHeight="false" outlineLevel="0" collapsed="false">
      <c r="A132" s="3"/>
      <c r="B132" s="0" t="str">
        <f aca="false">IF(A132="","",INT((A132-$S$2)/7)+1)</f>
        <v/>
      </c>
    </row>
    <row r="133" customFormat="false" ht="15" hidden="false" customHeight="false" outlineLevel="0" collapsed="false">
      <c r="A133" s="3"/>
      <c r="B133" s="0" t="str">
        <f aca="false">IF(A133="","",INT((A133-$S$2)/7)+1)</f>
        <v/>
      </c>
    </row>
    <row r="134" customFormat="false" ht="15" hidden="false" customHeight="false" outlineLevel="0" collapsed="false">
      <c r="A134" s="3"/>
      <c r="B134" s="0" t="str">
        <f aca="false">IF(A134="","",INT((A134-$S$2)/7)+1)</f>
        <v/>
      </c>
    </row>
    <row r="135" customFormat="false" ht="15" hidden="false" customHeight="false" outlineLevel="0" collapsed="false">
      <c r="A135" s="3"/>
      <c r="B135" s="0" t="str">
        <f aca="false">IF(A135="","",INT((A135-$S$2)/7)+1)</f>
        <v/>
      </c>
    </row>
    <row r="136" customFormat="false" ht="15" hidden="false" customHeight="false" outlineLevel="0" collapsed="false">
      <c r="A136" s="3"/>
      <c r="B136" s="0" t="str">
        <f aca="false">IF(A136="","",INT((A136-$S$2)/7)+1)</f>
        <v/>
      </c>
    </row>
    <row r="137" customFormat="false" ht="15" hidden="false" customHeight="false" outlineLevel="0" collapsed="false">
      <c r="A137" s="3"/>
      <c r="B137" s="0" t="str">
        <f aca="false">IF(A137="","",INT((A137-$S$2)/7)+1)</f>
        <v/>
      </c>
    </row>
    <row r="138" customFormat="false" ht="15" hidden="false" customHeight="false" outlineLevel="0" collapsed="false">
      <c r="A138" s="3"/>
      <c r="B138" s="0" t="str">
        <f aca="false">IF(A138="","",INT((A138-$S$2)/7)+1)</f>
        <v/>
      </c>
    </row>
    <row r="139" customFormat="false" ht="15" hidden="false" customHeight="false" outlineLevel="0" collapsed="false">
      <c r="A139" s="3"/>
      <c r="B139" s="0" t="str">
        <f aca="false">IF(A139="","",INT((A139-$S$2)/7)+1)</f>
        <v/>
      </c>
    </row>
    <row r="140" customFormat="false" ht="15" hidden="false" customHeight="false" outlineLevel="0" collapsed="false">
      <c r="A140" s="3"/>
      <c r="B140" s="0" t="str">
        <f aca="false">IF(A140="","",INT((A140-$S$2)/7)+1)</f>
        <v/>
      </c>
    </row>
    <row r="141" customFormat="false" ht="15" hidden="false" customHeight="false" outlineLevel="0" collapsed="false">
      <c r="A141" s="3"/>
      <c r="B141" s="0" t="str">
        <f aca="false">IF(A141="","",INT((A141-$S$2)/7)+1)</f>
        <v/>
      </c>
    </row>
    <row r="142" customFormat="false" ht="15" hidden="false" customHeight="false" outlineLevel="0" collapsed="false">
      <c r="A142" s="3"/>
      <c r="B142" s="0" t="str">
        <f aca="false">IF(A142="","",INT((A142-$S$2)/7)+1)</f>
        <v/>
      </c>
    </row>
    <row r="143" customFormat="false" ht="15" hidden="false" customHeight="false" outlineLevel="0" collapsed="false">
      <c r="A143" s="3"/>
      <c r="B143" s="0" t="str">
        <f aca="false">IF(A143="","",INT((A143-$S$2)/7)+1)</f>
        <v/>
      </c>
    </row>
    <row r="144" customFormat="false" ht="15" hidden="false" customHeight="false" outlineLevel="0" collapsed="false">
      <c r="A144" s="3"/>
      <c r="B144" s="0" t="str">
        <f aca="false">IF(A144="","",INT((A144-$S$2)/7)+1)</f>
        <v/>
      </c>
    </row>
    <row r="145" customFormat="false" ht="15" hidden="false" customHeight="false" outlineLevel="0" collapsed="false">
      <c r="A145" s="3"/>
      <c r="B145" s="0" t="str">
        <f aca="false">IF(A145="","",INT((A145-$S$2)/7)+1)</f>
        <v/>
      </c>
    </row>
    <row r="146" customFormat="false" ht="15" hidden="false" customHeight="false" outlineLevel="0" collapsed="false">
      <c r="A146" s="3"/>
      <c r="B146" s="0" t="str">
        <f aca="false">IF(A146="","",INT((A146-$S$2)/7)+1)</f>
        <v/>
      </c>
    </row>
    <row r="147" customFormat="false" ht="15" hidden="false" customHeight="false" outlineLevel="0" collapsed="false">
      <c r="A147" s="3"/>
      <c r="B147" s="0" t="str">
        <f aca="false">IF(A147="","",INT((A147-$S$2)/7)+1)</f>
        <v/>
      </c>
    </row>
    <row r="148" customFormat="false" ht="15" hidden="false" customHeight="false" outlineLevel="0" collapsed="false">
      <c r="A148" s="3"/>
      <c r="B148" s="0" t="str">
        <f aca="false">IF(A148="","",INT((A148-$S$2)/7)+1)</f>
        <v/>
      </c>
    </row>
    <row r="149" customFormat="false" ht="15" hidden="false" customHeight="false" outlineLevel="0" collapsed="false">
      <c r="A149" s="3"/>
      <c r="B149" s="0" t="str">
        <f aca="false">IF(A149="","",INT((A149-$S$2)/7)+1)</f>
        <v/>
      </c>
    </row>
    <row r="150" customFormat="false" ht="15" hidden="false" customHeight="false" outlineLevel="0" collapsed="false">
      <c r="A150" s="3"/>
      <c r="B150" s="0" t="str">
        <f aca="false">IF(A150="","",INT((A150-$S$2)/7)+1)</f>
        <v/>
      </c>
    </row>
    <row r="151" customFormat="false" ht="15" hidden="false" customHeight="false" outlineLevel="0" collapsed="false">
      <c r="A151" s="3"/>
      <c r="B151" s="0" t="str">
        <f aca="false">IF(A151="","",INT((A151-$S$2)/7)+1)</f>
        <v/>
      </c>
    </row>
    <row r="152" customFormat="false" ht="15" hidden="false" customHeight="false" outlineLevel="0" collapsed="false">
      <c r="A152" s="3"/>
      <c r="B152" s="0" t="str">
        <f aca="false">IF(A152="","",INT((A152-$S$2)/7)+1)</f>
        <v/>
      </c>
    </row>
    <row r="153" customFormat="false" ht="15" hidden="false" customHeight="false" outlineLevel="0" collapsed="false">
      <c r="A153" s="3"/>
      <c r="B153" s="0" t="str">
        <f aca="false">IF(A153="","",INT((A153-$S$2)/7)+1)</f>
        <v/>
      </c>
    </row>
    <row r="154" customFormat="false" ht="15" hidden="false" customHeight="false" outlineLevel="0" collapsed="false">
      <c r="A154" s="3"/>
      <c r="B154" s="0" t="str">
        <f aca="false">IF(A154="","",INT((A154-$S$2)/7)+1)</f>
        <v/>
      </c>
    </row>
    <row r="155" customFormat="false" ht="15" hidden="false" customHeight="false" outlineLevel="0" collapsed="false">
      <c r="A155" s="3"/>
      <c r="B155" s="0" t="str">
        <f aca="false">IF(A155="","",INT((A155-$S$2)/7)+1)</f>
        <v/>
      </c>
    </row>
    <row r="156" customFormat="false" ht="15" hidden="false" customHeight="false" outlineLevel="0" collapsed="false">
      <c r="A156" s="3"/>
      <c r="B156" s="0" t="str">
        <f aca="false">IF(A156="","",INT((A156-$S$2)/7)+1)</f>
        <v/>
      </c>
    </row>
    <row r="157" customFormat="false" ht="15" hidden="false" customHeight="false" outlineLevel="0" collapsed="false">
      <c r="A157" s="3"/>
      <c r="B157" s="0" t="str">
        <f aca="false">IF(A157="","",INT((A157-$S$2)/7)+1)</f>
        <v/>
      </c>
    </row>
    <row r="158" customFormat="false" ht="15" hidden="false" customHeight="false" outlineLevel="0" collapsed="false">
      <c r="A158" s="3"/>
      <c r="B158" s="0" t="str">
        <f aca="false">IF(A158="","",INT((A158-$S$2)/7)+1)</f>
        <v/>
      </c>
    </row>
    <row r="159" customFormat="false" ht="15" hidden="false" customHeight="false" outlineLevel="0" collapsed="false">
      <c r="A159" s="3"/>
      <c r="B159" s="0" t="str">
        <f aca="false">IF(A159="","",INT((A159-$S$2)/7)+1)</f>
        <v/>
      </c>
    </row>
    <row r="160" customFormat="false" ht="15" hidden="false" customHeight="false" outlineLevel="0" collapsed="false">
      <c r="A160" s="3"/>
      <c r="B160" s="0" t="str">
        <f aca="false">IF(A160="","",INT((A160-$S$2)/7)+1)</f>
        <v/>
      </c>
    </row>
    <row r="161" customFormat="false" ht="15" hidden="false" customHeight="false" outlineLevel="0" collapsed="false">
      <c r="A161" s="3"/>
      <c r="B161" s="0" t="str">
        <f aca="false">IF(A161="","",INT((A161-$S$2)/7)+1)</f>
        <v/>
      </c>
    </row>
    <row r="162" customFormat="false" ht="15" hidden="false" customHeight="false" outlineLevel="0" collapsed="false">
      <c r="A162" s="3"/>
      <c r="B162" s="0" t="str">
        <f aca="false">IF(A162="","",INT((A162-$S$2)/7)+1)</f>
        <v/>
      </c>
    </row>
    <row r="163" customFormat="false" ht="15" hidden="false" customHeight="false" outlineLevel="0" collapsed="false">
      <c r="A163" s="3"/>
      <c r="B163" s="0" t="str">
        <f aca="false">IF(A163="","",INT((A163-$S$2)/7)+1)</f>
        <v/>
      </c>
    </row>
    <row r="164" customFormat="false" ht="15" hidden="false" customHeight="false" outlineLevel="0" collapsed="false">
      <c r="A164" s="3"/>
      <c r="B164" s="0" t="str">
        <f aca="false">IF(A164="","",INT((A164-$S$2)/7)+1)</f>
        <v/>
      </c>
    </row>
    <row r="165" customFormat="false" ht="15" hidden="false" customHeight="false" outlineLevel="0" collapsed="false">
      <c r="A165" s="3"/>
      <c r="B165" s="0" t="str">
        <f aca="false">IF(A165="","",INT((A165-$S$2)/7)+1)</f>
        <v/>
      </c>
    </row>
    <row r="166" customFormat="false" ht="15" hidden="false" customHeight="false" outlineLevel="0" collapsed="false">
      <c r="A166" s="3"/>
      <c r="B166" s="0" t="str">
        <f aca="false">IF(A166="","",INT((A166-$S$2)/7)+1)</f>
        <v/>
      </c>
    </row>
    <row r="167" customFormat="false" ht="15" hidden="false" customHeight="false" outlineLevel="0" collapsed="false">
      <c r="A167" s="3"/>
      <c r="B167" s="0" t="str">
        <f aca="false">IF(A167="","",INT((A167-$S$2)/7)+1)</f>
        <v/>
      </c>
    </row>
    <row r="168" customFormat="false" ht="15" hidden="false" customHeight="false" outlineLevel="0" collapsed="false">
      <c r="A168" s="3"/>
      <c r="B168" s="0" t="str">
        <f aca="false">IF(A168="","",INT((A168-$S$2)/7)+1)</f>
        <v/>
      </c>
    </row>
    <row r="169" customFormat="false" ht="15" hidden="false" customHeight="false" outlineLevel="0" collapsed="false">
      <c r="A169" s="3"/>
      <c r="B169" s="0" t="str">
        <f aca="false">IF(A169="","",INT((A169-$S$2)/7)+1)</f>
        <v/>
      </c>
    </row>
    <row r="170" customFormat="false" ht="15" hidden="false" customHeight="false" outlineLevel="0" collapsed="false">
      <c r="A170" s="3"/>
      <c r="B170" s="0" t="str">
        <f aca="false">IF(A170="","",INT((A170-$S$2)/7)+1)</f>
        <v/>
      </c>
    </row>
    <row r="171" customFormat="false" ht="15" hidden="false" customHeight="false" outlineLevel="0" collapsed="false">
      <c r="A171" s="3"/>
      <c r="B171" s="0" t="str">
        <f aca="false">IF(A171="","",INT((A171-$S$2)/7)+1)</f>
        <v/>
      </c>
    </row>
    <row r="172" customFormat="false" ht="15" hidden="false" customHeight="false" outlineLevel="0" collapsed="false">
      <c r="A172" s="3"/>
      <c r="B172" s="0" t="str">
        <f aca="false">IF(A172="","",INT((A172-$S$2)/7)+1)</f>
        <v/>
      </c>
    </row>
    <row r="173" customFormat="false" ht="15" hidden="false" customHeight="false" outlineLevel="0" collapsed="false">
      <c r="A173" s="3"/>
      <c r="B173" s="0" t="str">
        <f aca="false">IF(A173="","",INT((A173-$S$2)/7)+1)</f>
        <v/>
      </c>
    </row>
    <row r="174" customFormat="false" ht="15" hidden="false" customHeight="false" outlineLevel="0" collapsed="false">
      <c r="A174" s="3"/>
      <c r="B174" s="0" t="str">
        <f aca="false">IF(A174="","",INT((A174-$S$2)/7)+1)</f>
        <v/>
      </c>
    </row>
    <row r="175" customFormat="false" ht="15" hidden="false" customHeight="false" outlineLevel="0" collapsed="false">
      <c r="A175" s="3"/>
      <c r="B175" s="0" t="str">
        <f aca="false">IF(A175="","",INT((A175-$S$2)/7)+1)</f>
        <v/>
      </c>
    </row>
    <row r="176" customFormat="false" ht="15" hidden="false" customHeight="false" outlineLevel="0" collapsed="false">
      <c r="A176" s="3"/>
      <c r="B176" s="0" t="str">
        <f aca="false">IF(A176="","",INT((A176-$S$2)/7)+1)</f>
        <v/>
      </c>
    </row>
    <row r="177" customFormat="false" ht="15" hidden="false" customHeight="false" outlineLevel="0" collapsed="false">
      <c r="A177" s="3"/>
      <c r="B177" s="0" t="str">
        <f aca="false">IF(A177="","",INT((A177-$S$2)/7)+1)</f>
        <v/>
      </c>
    </row>
    <row r="178" customFormat="false" ht="15" hidden="false" customHeight="false" outlineLevel="0" collapsed="false">
      <c r="A178" s="3"/>
      <c r="B178" s="0" t="str">
        <f aca="false">IF(A178="","",INT((A178-$S$2)/7)+1)</f>
        <v/>
      </c>
    </row>
    <row r="179" customFormat="false" ht="15" hidden="false" customHeight="false" outlineLevel="0" collapsed="false">
      <c r="A179" s="3"/>
      <c r="B179" s="0" t="str">
        <f aca="false">IF(A179="","",INT((A179-$S$2)/7)+1)</f>
        <v/>
      </c>
    </row>
    <row r="180" customFormat="false" ht="15" hidden="false" customHeight="false" outlineLevel="0" collapsed="false">
      <c r="A180" s="3"/>
      <c r="B180" s="0" t="str">
        <f aca="false">IF(A180="","",INT((A180-$S$2)/7)+1)</f>
        <v/>
      </c>
    </row>
    <row r="181" customFormat="false" ht="15" hidden="false" customHeight="false" outlineLevel="0" collapsed="false">
      <c r="A181" s="3"/>
      <c r="B181" s="0" t="str">
        <f aca="false">IF(A181="","",INT((A181-$S$2)/7)+1)</f>
        <v/>
      </c>
    </row>
    <row r="182" customFormat="false" ht="15" hidden="false" customHeight="false" outlineLevel="0" collapsed="false">
      <c r="A182" s="3"/>
      <c r="B182" s="0" t="str">
        <f aca="false">IF(A182="","",INT((A182-$S$2)/7)+1)</f>
        <v/>
      </c>
    </row>
    <row r="183" customFormat="false" ht="15" hidden="false" customHeight="false" outlineLevel="0" collapsed="false">
      <c r="A183" s="3"/>
      <c r="B183" s="0" t="str">
        <f aca="false">IF(A183="","",INT((A183-$S$2)/7)+1)</f>
        <v/>
      </c>
    </row>
    <row r="184" customFormat="false" ht="15" hidden="false" customHeight="false" outlineLevel="0" collapsed="false">
      <c r="A184" s="3"/>
      <c r="B184" s="0" t="str">
        <f aca="false">IF(A184="","",INT((A184-$S$2)/7)+1)</f>
        <v/>
      </c>
    </row>
    <row r="185" customFormat="false" ht="15" hidden="false" customHeight="false" outlineLevel="0" collapsed="false">
      <c r="A185" s="3"/>
      <c r="B185" s="0" t="str">
        <f aca="false">IF(A185="","",INT((A185-$S$2)/7)+1)</f>
        <v/>
      </c>
    </row>
    <row r="186" customFormat="false" ht="15" hidden="false" customHeight="false" outlineLevel="0" collapsed="false">
      <c r="A186" s="3"/>
      <c r="B186" s="0" t="str">
        <f aca="false">IF(A186="","",INT((A186-$S$2)/7)+1)</f>
        <v/>
      </c>
    </row>
    <row r="187" customFormat="false" ht="15" hidden="false" customHeight="false" outlineLevel="0" collapsed="false">
      <c r="A187" s="3"/>
      <c r="B187" s="0" t="str">
        <f aca="false">IF(A187="","",INT((A187-$S$2)/7)+1)</f>
        <v/>
      </c>
    </row>
    <row r="188" customFormat="false" ht="15" hidden="false" customHeight="false" outlineLevel="0" collapsed="false">
      <c r="A188" s="3"/>
      <c r="B188" s="0" t="str">
        <f aca="false">IF(A188="","",INT((A188-$S$2)/7)+1)</f>
        <v/>
      </c>
    </row>
    <row r="189" customFormat="false" ht="15" hidden="false" customHeight="false" outlineLevel="0" collapsed="false">
      <c r="A189" s="3"/>
      <c r="B189" s="0" t="str">
        <f aca="false">IF(A189="","",INT((A189-$S$2)/7)+1)</f>
        <v/>
      </c>
    </row>
    <row r="190" customFormat="false" ht="15" hidden="false" customHeight="false" outlineLevel="0" collapsed="false">
      <c r="A190" s="3"/>
      <c r="B190" s="0" t="str">
        <f aca="false">IF(A190="","",INT((A190-$S$2)/7)+1)</f>
        <v/>
      </c>
    </row>
    <row r="191" customFormat="false" ht="15" hidden="false" customHeight="false" outlineLevel="0" collapsed="false">
      <c r="A191" s="3"/>
      <c r="B191" s="0" t="str">
        <f aca="false">IF(A191="","",INT((A191-$S$2)/7)+1)</f>
        <v/>
      </c>
    </row>
    <row r="192" customFormat="false" ht="15" hidden="false" customHeight="false" outlineLevel="0" collapsed="false">
      <c r="A192" s="3"/>
      <c r="B192" s="0" t="str">
        <f aca="false">IF(A192="","",INT((A192-$S$2)/7)+1)</f>
        <v/>
      </c>
    </row>
    <row r="193" customFormat="false" ht="15" hidden="false" customHeight="false" outlineLevel="0" collapsed="false">
      <c r="A193" s="3"/>
      <c r="B193" s="0" t="str">
        <f aca="false">IF(A193="","",INT((A193-$S$2)/7)+1)</f>
        <v/>
      </c>
    </row>
    <row r="194" customFormat="false" ht="15" hidden="false" customHeight="false" outlineLevel="0" collapsed="false">
      <c r="A194" s="3"/>
      <c r="B194" s="0" t="str">
        <f aca="false">IF(A194="","",INT((A194-$S$2)/7)+1)</f>
        <v/>
      </c>
    </row>
    <row r="195" customFormat="false" ht="15" hidden="false" customHeight="false" outlineLevel="0" collapsed="false">
      <c r="A195" s="3"/>
      <c r="B195" s="0" t="str">
        <f aca="false">IF(A195="","",INT((A195-$S$2)/7)+1)</f>
        <v/>
      </c>
    </row>
    <row r="196" customFormat="false" ht="15" hidden="false" customHeight="false" outlineLevel="0" collapsed="false">
      <c r="A196" s="3"/>
      <c r="B196" s="0" t="str">
        <f aca="false">IF(A196="","",INT((A196-$S$2)/7)+1)</f>
        <v/>
      </c>
    </row>
    <row r="197" customFormat="false" ht="15" hidden="false" customHeight="false" outlineLevel="0" collapsed="false">
      <c r="A197" s="3"/>
      <c r="B197" s="0" t="str">
        <f aca="false">IF(A197="","",INT((A197-$S$2)/7)+1)</f>
        <v/>
      </c>
    </row>
    <row r="198" customFormat="false" ht="15" hidden="false" customHeight="false" outlineLevel="0" collapsed="false">
      <c r="A198" s="3"/>
      <c r="B198" s="0" t="str">
        <f aca="false">IF(A198="","",INT((A198-$S$2)/7)+1)</f>
        <v/>
      </c>
    </row>
    <row r="199" customFormat="false" ht="15" hidden="false" customHeight="false" outlineLevel="0" collapsed="false">
      <c r="A199" s="3"/>
      <c r="B199" s="0" t="str">
        <f aca="false">IF(A199="","",INT((A199-$S$2)/7)+1)</f>
        <v/>
      </c>
    </row>
    <row r="200" customFormat="false" ht="15" hidden="false" customHeight="false" outlineLevel="0" collapsed="false">
      <c r="A200" s="3"/>
      <c r="B200" s="0" t="str">
        <f aca="false">IF(A200="","",INT((A200-$S$2)/7)+1)</f>
        <v/>
      </c>
    </row>
    <row r="201" customFormat="false" ht="15" hidden="false" customHeight="false" outlineLevel="0" collapsed="false">
      <c r="A201" s="3"/>
      <c r="B201" s="0" t="str">
        <f aca="false">IF(A201="","",INT((A201-$S$2)/7)+1)</f>
        <v/>
      </c>
    </row>
    <row r="202" customFormat="false" ht="15" hidden="false" customHeight="false" outlineLevel="0" collapsed="false">
      <c r="A202" s="3"/>
      <c r="B202" s="0" t="str">
        <f aca="false">IF(A202="","",INT((A202-$S$2)/7)+1)</f>
        <v/>
      </c>
    </row>
    <row r="203" customFormat="false" ht="15" hidden="false" customHeight="false" outlineLevel="0" collapsed="false">
      <c r="A203" s="3"/>
      <c r="B203" s="0" t="str">
        <f aca="false">IF(A203="","",INT((A203-$S$2)/7)+1)</f>
        <v/>
      </c>
    </row>
    <row r="204" customFormat="false" ht="15" hidden="false" customHeight="false" outlineLevel="0" collapsed="false">
      <c r="A204" s="3"/>
      <c r="B204" s="0" t="str">
        <f aca="false">IF(A204="","",INT((A204-$S$2)/7)+1)</f>
        <v/>
      </c>
    </row>
    <row r="205" customFormat="false" ht="15" hidden="false" customHeight="false" outlineLevel="0" collapsed="false">
      <c r="A205" s="3"/>
      <c r="B205" s="0" t="str">
        <f aca="false">IF(A205="","",INT((A205-$S$2)/7)+1)</f>
        <v/>
      </c>
    </row>
    <row r="206" customFormat="false" ht="15" hidden="false" customHeight="false" outlineLevel="0" collapsed="false">
      <c r="A206" s="3"/>
      <c r="B206" s="0" t="str">
        <f aca="false">IF(A206="","",INT((A206-$S$2)/7)+1)</f>
        <v/>
      </c>
    </row>
    <row r="207" customFormat="false" ht="15" hidden="false" customHeight="false" outlineLevel="0" collapsed="false">
      <c r="A207" s="3"/>
      <c r="B207" s="0" t="str">
        <f aca="false">IF(A207="","",INT((A207-$S$2)/7)+1)</f>
        <v/>
      </c>
    </row>
    <row r="208" customFormat="false" ht="15" hidden="false" customHeight="false" outlineLevel="0" collapsed="false">
      <c r="A208" s="3"/>
      <c r="B208" s="0" t="str">
        <f aca="false">IF(A208="","",INT((A208-$S$2)/7)+1)</f>
        <v/>
      </c>
    </row>
    <row r="209" customFormat="false" ht="15" hidden="false" customHeight="false" outlineLevel="0" collapsed="false">
      <c r="A209" s="3"/>
      <c r="B209" s="0" t="str">
        <f aca="false">IF(A209="","",INT((A209-$S$2)/7)+1)</f>
        <v/>
      </c>
    </row>
    <row r="210" customFormat="false" ht="15" hidden="false" customHeight="false" outlineLevel="0" collapsed="false">
      <c r="A210" s="3"/>
      <c r="B210" s="0" t="str">
        <f aca="false">IF(A210="","",INT((A210-$S$2)/7)+1)</f>
        <v/>
      </c>
    </row>
    <row r="211" customFormat="false" ht="15" hidden="false" customHeight="false" outlineLevel="0" collapsed="false">
      <c r="A211" s="3"/>
      <c r="B211" s="0" t="str">
        <f aca="false">IF(A211="","",INT((A211-$S$2)/7)+1)</f>
        <v/>
      </c>
    </row>
    <row r="212" customFormat="false" ht="15" hidden="false" customHeight="false" outlineLevel="0" collapsed="false">
      <c r="A212" s="3"/>
      <c r="B212" s="0" t="str">
        <f aca="false">IF(A212="","",INT((A212-$S$2)/7)+1)</f>
        <v/>
      </c>
    </row>
    <row r="213" customFormat="false" ht="15" hidden="false" customHeight="false" outlineLevel="0" collapsed="false">
      <c r="A213" s="3"/>
      <c r="B213" s="0" t="str">
        <f aca="false">IF(A213="","",INT((A213-$S$2)/7)+1)</f>
        <v/>
      </c>
    </row>
    <row r="214" customFormat="false" ht="15" hidden="false" customHeight="false" outlineLevel="0" collapsed="false">
      <c r="A214" s="3"/>
      <c r="B214" s="0" t="str">
        <f aca="false">IF(A214="","",INT((A214-$S$2)/7)+1)</f>
        <v/>
      </c>
    </row>
    <row r="215" customFormat="false" ht="15" hidden="false" customHeight="false" outlineLevel="0" collapsed="false">
      <c r="A215" s="3"/>
      <c r="B215" s="0" t="str">
        <f aca="false">IF(A215="","",INT((A215-$S$2)/7)+1)</f>
        <v/>
      </c>
    </row>
    <row r="216" customFormat="false" ht="15" hidden="false" customHeight="false" outlineLevel="0" collapsed="false">
      <c r="A216" s="3"/>
      <c r="B216" s="0" t="str">
        <f aca="false">IF(A216="","",INT((A216-$S$2)/7)+1)</f>
        <v/>
      </c>
    </row>
    <row r="217" customFormat="false" ht="15" hidden="false" customHeight="false" outlineLevel="0" collapsed="false">
      <c r="A217" s="3"/>
      <c r="B217" s="0" t="str">
        <f aca="false">IF(A217="","",INT((A217-$S$2)/7)+1)</f>
        <v/>
      </c>
    </row>
    <row r="218" customFormat="false" ht="15" hidden="false" customHeight="false" outlineLevel="0" collapsed="false">
      <c r="A218" s="3"/>
      <c r="B218" s="0" t="str">
        <f aca="false">IF(A218="","",INT((A218-$S$2)/7)+1)</f>
        <v/>
      </c>
    </row>
    <row r="219" customFormat="false" ht="15" hidden="false" customHeight="false" outlineLevel="0" collapsed="false">
      <c r="A219" s="3"/>
      <c r="B219" s="0" t="str">
        <f aca="false">IF(A219="","",INT((A219-$S$2)/7)+1)</f>
        <v/>
      </c>
    </row>
    <row r="220" customFormat="false" ht="15" hidden="false" customHeight="false" outlineLevel="0" collapsed="false">
      <c r="A220" s="3"/>
      <c r="B220" s="0" t="str">
        <f aca="false">IF(A220="","",INT((A220-$S$2)/7)+1)</f>
        <v/>
      </c>
    </row>
    <row r="221" customFormat="false" ht="15" hidden="false" customHeight="false" outlineLevel="0" collapsed="false">
      <c r="A221" s="3"/>
      <c r="B221" s="0" t="str">
        <f aca="false">IF(A221="","",INT((A221-$S$2)/7)+1)</f>
        <v/>
      </c>
    </row>
    <row r="222" customFormat="false" ht="15" hidden="false" customHeight="false" outlineLevel="0" collapsed="false">
      <c r="A222" s="3"/>
      <c r="B222" s="0" t="str">
        <f aca="false">IF(A222="","",INT((A222-$S$2)/7)+1)</f>
        <v/>
      </c>
    </row>
    <row r="223" customFormat="false" ht="15" hidden="false" customHeight="false" outlineLevel="0" collapsed="false">
      <c r="A223" s="3"/>
      <c r="B223" s="0" t="str">
        <f aca="false">IF(A223="","",INT((A223-$S$2)/7)+1)</f>
        <v/>
      </c>
    </row>
    <row r="224" customFormat="false" ht="15" hidden="false" customHeight="false" outlineLevel="0" collapsed="false">
      <c r="A224" s="3"/>
      <c r="B224" s="0" t="str">
        <f aca="false">IF(A224="","",INT((A224-$S$2)/7)+1)</f>
        <v/>
      </c>
    </row>
    <row r="225" customFormat="false" ht="15" hidden="false" customHeight="false" outlineLevel="0" collapsed="false">
      <c r="A225" s="3"/>
      <c r="B225" s="0" t="str">
        <f aca="false">IF(A225="","",INT((A225-$S$2)/7)+1)</f>
        <v/>
      </c>
    </row>
    <row r="226" customFormat="false" ht="15" hidden="false" customHeight="false" outlineLevel="0" collapsed="false">
      <c r="A226" s="3"/>
      <c r="B226" s="0" t="str">
        <f aca="false">IF(A226="","",INT((A226-$S$2)/7)+1)</f>
        <v/>
      </c>
    </row>
    <row r="227" customFormat="false" ht="15" hidden="false" customHeight="false" outlineLevel="0" collapsed="false">
      <c r="A227" s="3"/>
      <c r="B227" s="0" t="str">
        <f aca="false">IF(A227="","",INT((A227-$S$2)/7)+1)</f>
        <v/>
      </c>
    </row>
    <row r="228" customFormat="false" ht="15" hidden="false" customHeight="false" outlineLevel="0" collapsed="false">
      <c r="A228" s="3"/>
      <c r="B228" s="0" t="str">
        <f aca="false">IF(A228="","",INT((A228-$S$2)/7)+1)</f>
        <v/>
      </c>
    </row>
    <row r="229" customFormat="false" ht="15" hidden="false" customHeight="false" outlineLevel="0" collapsed="false">
      <c r="A229" s="3"/>
      <c r="B229" s="0" t="str">
        <f aca="false">IF(A229="","",INT((A229-$S$2)/7)+1)</f>
        <v/>
      </c>
    </row>
    <row r="230" customFormat="false" ht="15" hidden="false" customHeight="false" outlineLevel="0" collapsed="false">
      <c r="A230" s="3"/>
      <c r="B230" s="0" t="str">
        <f aca="false">IF(A230="","",INT((A230-$S$2)/7)+1)</f>
        <v/>
      </c>
    </row>
    <row r="231" customFormat="false" ht="15" hidden="false" customHeight="false" outlineLevel="0" collapsed="false">
      <c r="A231" s="3"/>
      <c r="B231" s="0" t="str">
        <f aca="false">IF(A231="","",INT((A231-$S$2)/7)+1)</f>
        <v/>
      </c>
    </row>
    <row r="232" customFormat="false" ht="15" hidden="false" customHeight="false" outlineLevel="0" collapsed="false">
      <c r="A232" s="3"/>
      <c r="B232" s="0" t="str">
        <f aca="false">IF(A232="","",INT((A232-$S$2)/7)+1)</f>
        <v/>
      </c>
    </row>
    <row r="233" customFormat="false" ht="15" hidden="false" customHeight="false" outlineLevel="0" collapsed="false">
      <c r="A233" s="3"/>
      <c r="B233" s="0" t="str">
        <f aca="false">IF(A233="","",INT((A233-$S$2)/7)+1)</f>
        <v/>
      </c>
    </row>
    <row r="234" customFormat="false" ht="15" hidden="false" customHeight="false" outlineLevel="0" collapsed="false">
      <c r="A234" s="3"/>
      <c r="B234" s="0" t="str">
        <f aca="false">IF(A234="","",INT((A234-$S$2)/7)+1)</f>
        <v/>
      </c>
    </row>
    <row r="235" customFormat="false" ht="15" hidden="false" customHeight="false" outlineLevel="0" collapsed="false">
      <c r="A235" s="3"/>
      <c r="B235" s="0" t="str">
        <f aca="false">IF(A235="","",INT((A235-$S$2)/7)+1)</f>
        <v/>
      </c>
    </row>
    <row r="236" customFormat="false" ht="15" hidden="false" customHeight="false" outlineLevel="0" collapsed="false">
      <c r="A236" s="3"/>
      <c r="B236" s="0" t="str">
        <f aca="false">IF(A236="","",INT((A236-$S$2)/7)+1)</f>
        <v/>
      </c>
    </row>
    <row r="237" customFormat="false" ht="15" hidden="false" customHeight="false" outlineLevel="0" collapsed="false">
      <c r="A237" s="3"/>
      <c r="B237" s="0" t="str">
        <f aca="false">IF(A237="","",INT((A237-$S$2)/7)+1)</f>
        <v/>
      </c>
    </row>
    <row r="238" customFormat="false" ht="15" hidden="false" customHeight="false" outlineLevel="0" collapsed="false">
      <c r="A238" s="3"/>
      <c r="B238" s="0" t="str">
        <f aca="false">IF(A238="","",INT((A238-$S$2)/7)+1)</f>
        <v/>
      </c>
    </row>
    <row r="239" customFormat="false" ht="15" hidden="false" customHeight="false" outlineLevel="0" collapsed="false">
      <c r="A239" s="3"/>
      <c r="B239" s="0" t="str">
        <f aca="false">IF(A239="","",INT((A239-$S$2)/7)+1)</f>
        <v/>
      </c>
    </row>
    <row r="240" customFormat="false" ht="15" hidden="false" customHeight="false" outlineLevel="0" collapsed="false">
      <c r="A240" s="3"/>
      <c r="B240" s="0" t="str">
        <f aca="false">IF(A240="","",INT((A240-$S$2)/7)+1)</f>
        <v/>
      </c>
    </row>
    <row r="241" customFormat="false" ht="15" hidden="false" customHeight="false" outlineLevel="0" collapsed="false">
      <c r="A241" s="3"/>
      <c r="B241" s="0" t="str">
        <f aca="false">IF(A241="","",INT((A241-$S$2)/7)+1)</f>
        <v/>
      </c>
    </row>
    <row r="242" customFormat="false" ht="15" hidden="false" customHeight="false" outlineLevel="0" collapsed="false">
      <c r="A242" s="3"/>
      <c r="B242" s="0" t="str">
        <f aca="false">IF(A242="","",INT((A242-$S$2)/7)+1)</f>
        <v/>
      </c>
    </row>
    <row r="243" customFormat="false" ht="15" hidden="false" customHeight="false" outlineLevel="0" collapsed="false">
      <c r="A243" s="3"/>
      <c r="B243" s="0" t="str">
        <f aca="false">IF(A243="","",INT((A243-$S$2)/7)+1)</f>
        <v/>
      </c>
    </row>
    <row r="244" customFormat="false" ht="15" hidden="false" customHeight="false" outlineLevel="0" collapsed="false">
      <c r="A244" s="3"/>
      <c r="B244" s="0" t="str">
        <f aca="false">IF(A244="","",INT((A244-$S$2)/7)+1)</f>
        <v/>
      </c>
    </row>
    <row r="245" customFormat="false" ht="15" hidden="false" customHeight="false" outlineLevel="0" collapsed="false">
      <c r="A245" s="3"/>
      <c r="B245" s="0" t="str">
        <f aca="false">IF(A245="","",INT((A245-$S$2)/7)+1)</f>
        <v/>
      </c>
    </row>
    <row r="246" customFormat="false" ht="15" hidden="false" customHeight="false" outlineLevel="0" collapsed="false">
      <c r="A246" s="3"/>
      <c r="B246" s="0" t="str">
        <f aca="false">IF(A246="","",INT((A246-$S$2)/7)+1)</f>
        <v/>
      </c>
    </row>
    <row r="247" customFormat="false" ht="15" hidden="false" customHeight="false" outlineLevel="0" collapsed="false">
      <c r="A247" s="3"/>
      <c r="B247" s="0" t="str">
        <f aca="false">IF(A247="","",INT((A247-$S$2)/7)+1)</f>
        <v/>
      </c>
    </row>
    <row r="248" customFormat="false" ht="15" hidden="false" customHeight="false" outlineLevel="0" collapsed="false">
      <c r="A248" s="3"/>
      <c r="B248" s="0" t="str">
        <f aca="false">IF(A248="","",INT((A248-$S$2)/7)+1)</f>
        <v/>
      </c>
    </row>
    <row r="249" customFormat="false" ht="15" hidden="false" customHeight="false" outlineLevel="0" collapsed="false">
      <c r="A249" s="3"/>
      <c r="B249" s="0" t="str">
        <f aca="false">IF(A249="","",INT((A249-$S$2)/7)+1)</f>
        <v/>
      </c>
    </row>
    <row r="250" customFormat="false" ht="15" hidden="false" customHeight="false" outlineLevel="0" collapsed="false">
      <c r="A250" s="3"/>
      <c r="B250" s="0" t="str">
        <f aca="false">IF(A250="","",INT((A250-$S$2)/7)+1)</f>
        <v/>
      </c>
    </row>
    <row r="251" customFormat="false" ht="15" hidden="false" customHeight="false" outlineLevel="0" collapsed="false">
      <c r="A251" s="3"/>
      <c r="B251" s="0" t="str">
        <f aca="false">IF(A251="","",INT((A251-$S$2)/7)+1)</f>
        <v/>
      </c>
    </row>
    <row r="252" customFormat="false" ht="15" hidden="false" customHeight="false" outlineLevel="0" collapsed="false">
      <c r="A252" s="3"/>
      <c r="B252" s="0" t="str">
        <f aca="false">IF(A252="","",INT((A252-$S$2)/7)+1)</f>
        <v/>
      </c>
    </row>
    <row r="253" customFormat="false" ht="15" hidden="false" customHeight="false" outlineLevel="0" collapsed="false">
      <c r="A253" s="3"/>
      <c r="B253" s="0" t="str">
        <f aca="false">IF(A253="","",INT((A253-$S$2)/7)+1)</f>
        <v/>
      </c>
    </row>
    <row r="254" customFormat="false" ht="15" hidden="false" customHeight="false" outlineLevel="0" collapsed="false">
      <c r="A254" s="3"/>
      <c r="B254" s="0" t="str">
        <f aca="false">IF(A254="","",INT((A254-$S$2)/7)+1)</f>
        <v/>
      </c>
    </row>
    <row r="255" customFormat="false" ht="15" hidden="false" customHeight="false" outlineLevel="0" collapsed="false">
      <c r="A255" s="3"/>
      <c r="B255" s="0" t="str">
        <f aca="false">IF(A255="","",INT((A255-$S$2)/7)+1)</f>
        <v/>
      </c>
    </row>
    <row r="256" customFormat="false" ht="15" hidden="false" customHeight="false" outlineLevel="0" collapsed="false">
      <c r="A256" s="3"/>
      <c r="B256" s="0" t="str">
        <f aca="false">IF(A256="","",INT((A256-$S$2)/7)+1)</f>
        <v/>
      </c>
    </row>
    <row r="257" customFormat="false" ht="15" hidden="false" customHeight="false" outlineLevel="0" collapsed="false">
      <c r="A257" s="3"/>
      <c r="B257" s="0" t="str">
        <f aca="false">IF(A257="","",INT((A257-$S$2)/7)+1)</f>
        <v/>
      </c>
    </row>
    <row r="258" customFormat="false" ht="15" hidden="false" customHeight="false" outlineLevel="0" collapsed="false">
      <c r="A258" s="3"/>
      <c r="B258" s="0" t="str">
        <f aca="false">IF(A258="","",INT((A258-$S$2)/7)+1)</f>
        <v/>
      </c>
    </row>
    <row r="259" customFormat="false" ht="15" hidden="false" customHeight="false" outlineLevel="0" collapsed="false">
      <c r="A259" s="3"/>
      <c r="B259" s="0" t="str">
        <f aca="false">IF(A259="","",INT((A259-$S$2)/7)+1)</f>
        <v/>
      </c>
    </row>
    <row r="260" customFormat="false" ht="15" hidden="false" customHeight="false" outlineLevel="0" collapsed="false">
      <c r="A260" s="3"/>
      <c r="B260" s="0" t="str">
        <f aca="false">IF(A260="","",INT((A260-$S$2)/7)+1)</f>
        <v/>
      </c>
    </row>
    <row r="261" customFormat="false" ht="15" hidden="false" customHeight="false" outlineLevel="0" collapsed="false">
      <c r="A261" s="3"/>
      <c r="B261" s="0" t="str">
        <f aca="false">IF(A261="","",INT((A261-$S$2)/7)+1)</f>
        <v/>
      </c>
    </row>
    <row r="262" customFormat="false" ht="15" hidden="false" customHeight="false" outlineLevel="0" collapsed="false">
      <c r="A262" s="3"/>
      <c r="B262" s="0" t="str">
        <f aca="false">IF(A262="","",INT((A262-$S$2)/7)+1)</f>
        <v/>
      </c>
    </row>
    <row r="263" customFormat="false" ht="15" hidden="false" customHeight="false" outlineLevel="0" collapsed="false">
      <c r="A263" s="3"/>
      <c r="B263" s="0" t="str">
        <f aca="false">IF(A263="","",INT((A263-$S$2)/7)+1)</f>
        <v/>
      </c>
    </row>
    <row r="264" customFormat="false" ht="15" hidden="false" customHeight="false" outlineLevel="0" collapsed="false">
      <c r="A264" s="3"/>
      <c r="B264" s="0" t="str">
        <f aca="false">IF(A264="","",INT((A264-$S$2)/7)+1)</f>
        <v/>
      </c>
    </row>
    <row r="265" customFormat="false" ht="15" hidden="false" customHeight="false" outlineLevel="0" collapsed="false">
      <c r="A265" s="3"/>
      <c r="B265" s="0" t="str">
        <f aca="false">IF(A265="","",INT((A265-$S$2)/7)+1)</f>
        <v/>
      </c>
    </row>
    <row r="266" customFormat="false" ht="15" hidden="false" customHeight="false" outlineLevel="0" collapsed="false">
      <c r="A266" s="3"/>
      <c r="B266" s="0" t="str">
        <f aca="false">IF(A266="","",INT((A266-$S$2)/7)+1)</f>
        <v/>
      </c>
    </row>
    <row r="267" customFormat="false" ht="15" hidden="false" customHeight="false" outlineLevel="0" collapsed="false">
      <c r="A267" s="3"/>
      <c r="B267" s="0" t="str">
        <f aca="false">IF(A267="","",INT((A267-$S$2)/7)+1)</f>
        <v/>
      </c>
    </row>
    <row r="268" customFormat="false" ht="15" hidden="false" customHeight="false" outlineLevel="0" collapsed="false">
      <c r="A268" s="3"/>
      <c r="B268" s="0" t="str">
        <f aca="false">IF(A268="","",INT((A268-$S$2)/7)+1)</f>
        <v/>
      </c>
    </row>
    <row r="269" customFormat="false" ht="15" hidden="false" customHeight="false" outlineLevel="0" collapsed="false">
      <c r="A269" s="3"/>
      <c r="B269" s="0" t="str">
        <f aca="false">IF(A269="","",INT((A269-$S$2)/7)+1)</f>
        <v/>
      </c>
    </row>
    <row r="270" customFormat="false" ht="15" hidden="false" customHeight="false" outlineLevel="0" collapsed="false">
      <c r="A270" s="3"/>
      <c r="B270" s="0" t="str">
        <f aca="false">IF(A270="","",INT((A270-$S$2)/7)+1)</f>
        <v/>
      </c>
    </row>
    <row r="271" customFormat="false" ht="15" hidden="false" customHeight="false" outlineLevel="0" collapsed="false">
      <c r="A271" s="3"/>
      <c r="B271" s="0" t="str">
        <f aca="false">IF(A271="","",INT((A271-$S$2)/7)+1)</f>
        <v/>
      </c>
    </row>
    <row r="272" customFormat="false" ht="15" hidden="false" customHeight="false" outlineLevel="0" collapsed="false">
      <c r="A272" s="3"/>
      <c r="B272" s="0" t="str">
        <f aca="false">IF(A272="","",INT((A272-$S$2)/7)+1)</f>
        <v/>
      </c>
    </row>
    <row r="273" customFormat="false" ht="15" hidden="false" customHeight="false" outlineLevel="0" collapsed="false">
      <c r="A273" s="3"/>
      <c r="B273" s="0" t="str">
        <f aca="false">IF(A273="","",INT((A273-$S$2)/7)+1)</f>
        <v/>
      </c>
    </row>
    <row r="274" customFormat="false" ht="15" hidden="false" customHeight="false" outlineLevel="0" collapsed="false">
      <c r="A274" s="3"/>
      <c r="B274" s="0" t="str">
        <f aca="false">IF(A274="","",INT((A274-$S$2)/7)+1)</f>
        <v/>
      </c>
    </row>
    <row r="275" customFormat="false" ht="15" hidden="false" customHeight="false" outlineLevel="0" collapsed="false">
      <c r="A275" s="3"/>
      <c r="B275" s="0" t="str">
        <f aca="false">IF(A275="","",INT((A275-$S$2)/7)+1)</f>
        <v/>
      </c>
    </row>
    <row r="276" customFormat="false" ht="15" hidden="false" customHeight="false" outlineLevel="0" collapsed="false">
      <c r="A276" s="3"/>
      <c r="B276" s="0" t="str">
        <f aca="false">IF(A276="","",INT((A276-$S$2)/7)+1)</f>
        <v/>
      </c>
    </row>
    <row r="277" customFormat="false" ht="15" hidden="false" customHeight="false" outlineLevel="0" collapsed="false">
      <c r="A277" s="3"/>
      <c r="B277" s="0" t="str">
        <f aca="false">IF(A277="","",INT((A277-$S$2)/7)+1)</f>
        <v/>
      </c>
    </row>
    <row r="278" customFormat="false" ht="15" hidden="false" customHeight="false" outlineLevel="0" collapsed="false">
      <c r="A278" s="3"/>
      <c r="B278" s="0" t="str">
        <f aca="false">IF(A278="","",INT((A278-$S$2)/7)+1)</f>
        <v/>
      </c>
    </row>
    <row r="279" customFormat="false" ht="15" hidden="false" customHeight="false" outlineLevel="0" collapsed="false">
      <c r="A279" s="3"/>
      <c r="B279" s="0" t="str">
        <f aca="false">IF(A279="","",INT((A279-$S$2)/7)+1)</f>
        <v/>
      </c>
    </row>
    <row r="280" customFormat="false" ht="15" hidden="false" customHeight="false" outlineLevel="0" collapsed="false">
      <c r="A280" s="3"/>
      <c r="B280" s="0" t="str">
        <f aca="false">IF(A280="","",INT((A280-$S$2)/7)+1)</f>
        <v/>
      </c>
    </row>
    <row r="281" customFormat="false" ht="15" hidden="false" customHeight="false" outlineLevel="0" collapsed="false">
      <c r="A281" s="3"/>
      <c r="B281" s="0" t="str">
        <f aca="false">IF(A281="","",INT((A281-$S$2)/7)+1)</f>
        <v/>
      </c>
    </row>
    <row r="282" customFormat="false" ht="15" hidden="false" customHeight="false" outlineLevel="0" collapsed="false">
      <c r="A282" s="3"/>
      <c r="B282" s="0" t="str">
        <f aca="false">IF(A282="","",INT((A282-$S$2)/7)+1)</f>
        <v/>
      </c>
    </row>
    <row r="283" customFormat="false" ht="15" hidden="false" customHeight="false" outlineLevel="0" collapsed="false">
      <c r="A283" s="3"/>
      <c r="B283" s="0" t="str">
        <f aca="false">IF(A283="","",INT((A283-$S$2)/7)+1)</f>
        <v/>
      </c>
    </row>
    <row r="284" customFormat="false" ht="15" hidden="false" customHeight="false" outlineLevel="0" collapsed="false">
      <c r="A284" s="3"/>
      <c r="B284" s="0" t="str">
        <f aca="false">IF(A284="","",INT((A284-$S$2)/7)+1)</f>
        <v/>
      </c>
    </row>
    <row r="285" customFormat="false" ht="15" hidden="false" customHeight="false" outlineLevel="0" collapsed="false">
      <c r="A285" s="3"/>
      <c r="B285" s="0" t="str">
        <f aca="false">IF(A285="","",INT((A285-$S$2)/7)+1)</f>
        <v/>
      </c>
    </row>
    <row r="286" customFormat="false" ht="15" hidden="false" customHeight="false" outlineLevel="0" collapsed="false">
      <c r="A286" s="3"/>
      <c r="B286" s="0" t="str">
        <f aca="false">IF(A286="","",INT((A286-$S$2)/7)+1)</f>
        <v/>
      </c>
    </row>
    <row r="287" customFormat="false" ht="15" hidden="false" customHeight="false" outlineLevel="0" collapsed="false">
      <c r="A287" s="3"/>
      <c r="B287" s="0" t="str">
        <f aca="false">IF(A287="","",INT((A287-$S$2)/7)+1)</f>
        <v/>
      </c>
    </row>
    <row r="288" customFormat="false" ht="15" hidden="false" customHeight="false" outlineLevel="0" collapsed="false">
      <c r="A288" s="3"/>
      <c r="B288" s="0" t="str">
        <f aca="false">IF(A288="","",INT((A288-$S$2)/7)+1)</f>
        <v/>
      </c>
    </row>
    <row r="289" customFormat="false" ht="15" hidden="false" customHeight="false" outlineLevel="0" collapsed="false">
      <c r="A289" s="3"/>
      <c r="B289" s="0" t="str">
        <f aca="false">IF(A289="","",INT((A289-$S$2)/7)+1)</f>
        <v/>
      </c>
    </row>
    <row r="290" customFormat="false" ht="15" hidden="false" customHeight="false" outlineLevel="0" collapsed="false">
      <c r="A290" s="3"/>
      <c r="B290" s="0" t="str">
        <f aca="false">IF(A290="","",INT((A290-$S$2)/7)+1)</f>
        <v/>
      </c>
    </row>
    <row r="291" customFormat="false" ht="15" hidden="false" customHeight="false" outlineLevel="0" collapsed="false">
      <c r="A291" s="3"/>
      <c r="B291" s="0" t="str">
        <f aca="false">IF(A291="","",INT((A291-$S$2)/7)+1)</f>
        <v/>
      </c>
    </row>
    <row r="292" customFormat="false" ht="15" hidden="false" customHeight="false" outlineLevel="0" collapsed="false">
      <c r="A292" s="3"/>
      <c r="B292" s="0" t="str">
        <f aca="false">IF(A292="","",INT((A292-$S$2)/7)+1)</f>
        <v/>
      </c>
    </row>
    <row r="293" customFormat="false" ht="15" hidden="false" customHeight="false" outlineLevel="0" collapsed="false">
      <c r="A293" s="3"/>
      <c r="B293" s="0" t="str">
        <f aca="false">IF(A293="","",INT((A293-$S$2)/7)+1)</f>
        <v/>
      </c>
    </row>
    <row r="294" customFormat="false" ht="15" hidden="false" customHeight="false" outlineLevel="0" collapsed="false">
      <c r="A294" s="3"/>
      <c r="B294" s="0" t="str">
        <f aca="false">IF(A294="","",INT((A294-$S$2)/7)+1)</f>
        <v/>
      </c>
    </row>
    <row r="295" customFormat="false" ht="15" hidden="false" customHeight="false" outlineLevel="0" collapsed="false">
      <c r="A295" s="3"/>
      <c r="B295" s="0" t="str">
        <f aca="false">IF(A295="","",INT((A295-$S$2)/7)+1)</f>
        <v/>
      </c>
    </row>
    <row r="296" customFormat="false" ht="15" hidden="false" customHeight="false" outlineLevel="0" collapsed="false">
      <c r="A296" s="3"/>
      <c r="B296" s="0" t="str">
        <f aca="false">IF(A296="","",INT((A296-$S$2)/7)+1)</f>
        <v/>
      </c>
    </row>
    <row r="297" customFormat="false" ht="15" hidden="false" customHeight="false" outlineLevel="0" collapsed="false">
      <c r="A297" s="3"/>
      <c r="B297" s="0" t="str">
        <f aca="false">IF(A297="","",INT((A297-$S$2)/7)+1)</f>
        <v/>
      </c>
    </row>
    <row r="298" customFormat="false" ht="15" hidden="false" customHeight="false" outlineLevel="0" collapsed="false">
      <c r="A298" s="3"/>
      <c r="B298" s="0" t="str">
        <f aca="false">IF(A298="","",INT((A298-$S$2)/7)+1)</f>
        <v/>
      </c>
    </row>
    <row r="299" customFormat="false" ht="15" hidden="false" customHeight="false" outlineLevel="0" collapsed="false">
      <c r="A299" s="3"/>
      <c r="B299" s="0" t="str">
        <f aca="false">IF(A299="","",INT((A299-$S$2)/7)+1)</f>
        <v/>
      </c>
    </row>
    <row r="300" customFormat="false" ht="15" hidden="false" customHeight="false" outlineLevel="0" collapsed="false">
      <c r="A300" s="3"/>
      <c r="B300" s="0" t="str">
        <f aca="false">IF(A300="","",INT((A300-$S$2)/7)+1)</f>
        <v/>
      </c>
    </row>
    <row r="301" customFormat="false" ht="15" hidden="false" customHeight="false" outlineLevel="0" collapsed="false">
      <c r="A301" s="3"/>
      <c r="B301" s="0" t="str">
        <f aca="false">IF(A301="","",INT((A301-$S$2)/7)+1)</f>
        <v/>
      </c>
    </row>
    <row r="302" customFormat="false" ht="15" hidden="false" customHeight="false" outlineLevel="0" collapsed="false">
      <c r="A302" s="3"/>
      <c r="B302" s="0" t="str">
        <f aca="false">IF(A302="","",INT((A302-$S$2)/7)+1)</f>
        <v/>
      </c>
    </row>
    <row r="303" customFormat="false" ht="15" hidden="false" customHeight="false" outlineLevel="0" collapsed="false">
      <c r="A303" s="3"/>
      <c r="B303" s="0" t="str">
        <f aca="false">IF(A303="","",INT((A303-$S$2)/7)+1)</f>
        <v/>
      </c>
    </row>
    <row r="304" customFormat="false" ht="15" hidden="false" customHeight="false" outlineLevel="0" collapsed="false">
      <c r="A304" s="3"/>
      <c r="B304" s="0" t="str">
        <f aca="false">IF(A304="","",INT((A304-$S$2)/7)+1)</f>
        <v/>
      </c>
    </row>
    <row r="305" customFormat="false" ht="15" hidden="false" customHeight="false" outlineLevel="0" collapsed="false">
      <c r="A305" s="3"/>
      <c r="B305" s="0" t="str">
        <f aca="false">IF(A305="","",INT((A305-$S$2)/7)+1)</f>
        <v/>
      </c>
    </row>
    <row r="306" customFormat="false" ht="15" hidden="false" customHeight="false" outlineLevel="0" collapsed="false">
      <c r="A306" s="3"/>
      <c r="B306" s="0" t="str">
        <f aca="false">IF(A306="","",INT((A306-$S$2)/7)+1)</f>
        <v/>
      </c>
    </row>
    <row r="307" customFormat="false" ht="15" hidden="false" customHeight="false" outlineLevel="0" collapsed="false">
      <c r="A307" s="3"/>
      <c r="B307" s="0" t="str">
        <f aca="false">IF(A307="","",INT((A307-$S$2)/7)+1)</f>
        <v/>
      </c>
    </row>
    <row r="308" customFormat="false" ht="15" hidden="false" customHeight="false" outlineLevel="0" collapsed="false">
      <c r="A308" s="3"/>
      <c r="B308" s="0" t="str">
        <f aca="false">IF(A308="","",INT((A308-$S$2)/7)+1)</f>
        <v/>
      </c>
    </row>
    <row r="309" customFormat="false" ht="15" hidden="false" customHeight="false" outlineLevel="0" collapsed="false">
      <c r="A309" s="3"/>
      <c r="B309" s="0" t="str">
        <f aca="false">IF(A309="","",INT((A309-$S$2)/7)+1)</f>
        <v/>
      </c>
    </row>
    <row r="310" customFormat="false" ht="15" hidden="false" customHeight="false" outlineLevel="0" collapsed="false">
      <c r="A310" s="3"/>
      <c r="B310" s="0" t="str">
        <f aca="false">IF(A310="","",INT((A310-$S$2)/7)+1)</f>
        <v/>
      </c>
    </row>
    <row r="311" customFormat="false" ht="15" hidden="false" customHeight="false" outlineLevel="0" collapsed="false">
      <c r="A311" s="3"/>
      <c r="B311" s="0" t="str">
        <f aca="false">IF(A311="","",INT((A311-$S$2)/7)+1)</f>
        <v/>
      </c>
    </row>
    <row r="312" customFormat="false" ht="15" hidden="false" customHeight="false" outlineLevel="0" collapsed="false">
      <c r="A312" s="3"/>
      <c r="B312" s="0" t="str">
        <f aca="false">IF(A312="","",INT((A312-$S$2)/7)+1)</f>
        <v/>
      </c>
    </row>
    <row r="313" customFormat="false" ht="15" hidden="false" customHeight="false" outlineLevel="0" collapsed="false">
      <c r="A313" s="3"/>
      <c r="B313" s="0" t="str">
        <f aca="false">IF(A313="","",INT((A313-$S$2)/7)+1)</f>
        <v/>
      </c>
    </row>
    <row r="314" customFormat="false" ht="15" hidden="false" customHeight="false" outlineLevel="0" collapsed="false">
      <c r="A314" s="3"/>
      <c r="B314" s="0" t="str">
        <f aca="false">IF(A314="","",INT((A314-$S$2)/7)+1)</f>
        <v/>
      </c>
    </row>
    <row r="315" customFormat="false" ht="15" hidden="false" customHeight="false" outlineLevel="0" collapsed="false">
      <c r="A315" s="3"/>
      <c r="B315" s="0" t="str">
        <f aca="false">IF(A315="","",INT((A315-$S$2)/7)+1)</f>
        <v/>
      </c>
    </row>
    <row r="316" customFormat="false" ht="15" hidden="false" customHeight="false" outlineLevel="0" collapsed="false">
      <c r="A316" s="3"/>
      <c r="B316" s="0" t="str">
        <f aca="false">IF(A316="","",INT((A316-$S$2)/7)+1)</f>
        <v/>
      </c>
    </row>
    <row r="317" customFormat="false" ht="15" hidden="false" customHeight="false" outlineLevel="0" collapsed="false">
      <c r="A317" s="3"/>
      <c r="B317" s="0" t="str">
        <f aca="false">IF(A317="","",INT((A317-$S$2)/7)+1)</f>
        <v/>
      </c>
    </row>
    <row r="318" customFormat="false" ht="15" hidden="false" customHeight="false" outlineLevel="0" collapsed="false">
      <c r="A318" s="3"/>
      <c r="B318" s="0" t="str">
        <f aca="false">IF(A318="","",INT((A318-$S$2)/7)+1)</f>
        <v/>
      </c>
    </row>
    <row r="319" customFormat="false" ht="15" hidden="false" customHeight="false" outlineLevel="0" collapsed="false">
      <c r="A319" s="3"/>
      <c r="B319" s="0" t="str">
        <f aca="false">IF(A319="","",INT((A319-$S$2)/7)+1)</f>
        <v/>
      </c>
    </row>
    <row r="320" customFormat="false" ht="15" hidden="false" customHeight="false" outlineLevel="0" collapsed="false">
      <c r="A320" s="3"/>
      <c r="B320" s="0" t="str">
        <f aca="false">IF(A320="","",INT((A320-$S$2)/7)+1)</f>
        <v/>
      </c>
    </row>
    <row r="321" customFormat="false" ht="15" hidden="false" customHeight="false" outlineLevel="0" collapsed="false">
      <c r="A321" s="3"/>
      <c r="B321" s="0" t="str">
        <f aca="false">IF(A321="","",INT((A321-$S$2)/7)+1)</f>
        <v/>
      </c>
    </row>
    <row r="322" customFormat="false" ht="15" hidden="false" customHeight="false" outlineLevel="0" collapsed="false">
      <c r="A322" s="3"/>
      <c r="B322" s="0" t="str">
        <f aca="false">IF(A322="","",INT((A322-$S$2)/7)+1)</f>
        <v/>
      </c>
    </row>
    <row r="323" customFormat="false" ht="15" hidden="false" customHeight="false" outlineLevel="0" collapsed="false">
      <c r="A323" s="3"/>
      <c r="B323" s="0" t="str">
        <f aca="false">IF(A323="","",INT((A323-$S$2)/7)+1)</f>
        <v/>
      </c>
    </row>
    <row r="324" customFormat="false" ht="15" hidden="false" customHeight="false" outlineLevel="0" collapsed="false">
      <c r="A324" s="3"/>
      <c r="B324" s="0" t="str">
        <f aca="false">IF(A324="","",INT((A324-$S$2)/7)+1)</f>
        <v/>
      </c>
    </row>
    <row r="325" customFormat="false" ht="15" hidden="false" customHeight="false" outlineLevel="0" collapsed="false">
      <c r="A325" s="3"/>
      <c r="B325" s="0" t="str">
        <f aca="false">IF(A325="","",INT((A325-$S$2)/7)+1)</f>
        <v/>
      </c>
    </row>
    <row r="326" customFormat="false" ht="15" hidden="false" customHeight="false" outlineLevel="0" collapsed="false">
      <c r="A326" s="3"/>
      <c r="B326" s="0" t="str">
        <f aca="false">IF(A326="","",INT((A326-$S$2)/7)+1)</f>
        <v/>
      </c>
    </row>
    <row r="327" customFormat="false" ht="15" hidden="false" customHeight="false" outlineLevel="0" collapsed="false">
      <c r="A327" s="3"/>
      <c r="B327" s="0" t="str">
        <f aca="false">IF(A327="","",INT((A327-$S$2)/7)+1)</f>
        <v/>
      </c>
    </row>
    <row r="328" customFormat="false" ht="15" hidden="false" customHeight="false" outlineLevel="0" collapsed="false">
      <c r="A328" s="3"/>
      <c r="B328" s="0" t="str">
        <f aca="false">IF(A328="","",INT((A328-$S$2)/7)+1)</f>
        <v/>
      </c>
    </row>
    <row r="329" customFormat="false" ht="15" hidden="false" customHeight="false" outlineLevel="0" collapsed="false">
      <c r="A329" s="3"/>
      <c r="B329" s="0" t="str">
        <f aca="false">IF(A329="","",INT((A329-$S$2)/7)+1)</f>
        <v/>
      </c>
    </row>
    <row r="330" customFormat="false" ht="15" hidden="false" customHeight="false" outlineLevel="0" collapsed="false">
      <c r="A330" s="3"/>
      <c r="B330" s="0" t="str">
        <f aca="false">IF(A330="","",INT((A330-$S$2)/7)+1)</f>
        <v/>
      </c>
    </row>
    <row r="331" customFormat="false" ht="15" hidden="false" customHeight="false" outlineLevel="0" collapsed="false">
      <c r="A331" s="3"/>
      <c r="B331" s="0" t="str">
        <f aca="false">IF(A331="","",INT((A331-$S$2)/7)+1)</f>
        <v/>
      </c>
    </row>
    <row r="332" customFormat="false" ht="15" hidden="false" customHeight="false" outlineLevel="0" collapsed="false">
      <c r="A332" s="3"/>
      <c r="B332" s="0" t="str">
        <f aca="false">IF(A332="","",INT((A332-$S$2)/7)+1)</f>
        <v/>
      </c>
    </row>
    <row r="333" customFormat="false" ht="15" hidden="false" customHeight="false" outlineLevel="0" collapsed="false">
      <c r="A333" s="3"/>
      <c r="B333" s="0" t="str">
        <f aca="false">IF(A333="","",INT((A333-$S$2)/7)+1)</f>
        <v/>
      </c>
    </row>
    <row r="334" customFormat="false" ht="15" hidden="false" customHeight="false" outlineLevel="0" collapsed="false">
      <c r="A334" s="3"/>
      <c r="B334" s="0" t="str">
        <f aca="false">IF(A334="","",INT((A334-$S$2)/7)+1)</f>
        <v/>
      </c>
    </row>
    <row r="335" customFormat="false" ht="15" hidden="false" customHeight="false" outlineLevel="0" collapsed="false">
      <c r="A335" s="3"/>
      <c r="B335" s="0" t="str">
        <f aca="false">IF(A335="","",INT((A335-$S$2)/7)+1)</f>
        <v/>
      </c>
    </row>
    <row r="336" customFormat="false" ht="15" hidden="false" customHeight="false" outlineLevel="0" collapsed="false">
      <c r="A336" s="3"/>
      <c r="B336" s="0" t="str">
        <f aca="false">IF(A336="","",INT((A336-$S$2)/7)+1)</f>
        <v/>
      </c>
    </row>
    <row r="337" customFormat="false" ht="15" hidden="false" customHeight="false" outlineLevel="0" collapsed="false">
      <c r="A337" s="3"/>
      <c r="B337" s="0" t="str">
        <f aca="false">IF(A337="","",INT((A337-$S$2)/7)+1)</f>
        <v/>
      </c>
    </row>
    <row r="338" customFormat="false" ht="15" hidden="false" customHeight="false" outlineLevel="0" collapsed="false">
      <c r="A338" s="3"/>
      <c r="B338" s="0" t="str">
        <f aca="false">IF(A338="","",INT((A338-$S$2)/7)+1)</f>
        <v/>
      </c>
    </row>
    <row r="339" customFormat="false" ht="15" hidden="false" customHeight="false" outlineLevel="0" collapsed="false">
      <c r="A339" s="3"/>
      <c r="B339" s="0" t="str">
        <f aca="false">IF(A339="","",INT((A339-$S$2)/7)+1)</f>
        <v/>
      </c>
    </row>
    <row r="340" customFormat="false" ht="15" hidden="false" customHeight="false" outlineLevel="0" collapsed="false">
      <c r="A340" s="3"/>
      <c r="B340" s="0" t="str">
        <f aca="false">IF(A340="","",INT((A340-$S$2)/7)+1)</f>
        <v/>
      </c>
    </row>
    <row r="341" customFormat="false" ht="15" hidden="false" customHeight="false" outlineLevel="0" collapsed="false">
      <c r="A341" s="3"/>
      <c r="B341" s="0" t="str">
        <f aca="false">IF(A341="","",INT((A341-$S$2)/7)+1)</f>
        <v/>
      </c>
    </row>
    <row r="342" customFormat="false" ht="15" hidden="false" customHeight="false" outlineLevel="0" collapsed="false">
      <c r="A342" s="3"/>
      <c r="B342" s="0" t="str">
        <f aca="false">IF(A342="","",INT((A342-$S$2)/7)+1)</f>
        <v/>
      </c>
    </row>
    <row r="343" customFormat="false" ht="15" hidden="false" customHeight="false" outlineLevel="0" collapsed="false">
      <c r="A343" s="3"/>
      <c r="B343" s="0" t="str">
        <f aca="false">IF(A343="","",INT((A343-$S$2)/7)+1)</f>
        <v/>
      </c>
    </row>
    <row r="344" customFormat="false" ht="15" hidden="false" customHeight="false" outlineLevel="0" collapsed="false">
      <c r="A344" s="3"/>
      <c r="B344" s="0" t="str">
        <f aca="false">IF(A344="","",INT((A344-$S$2)/7)+1)</f>
        <v/>
      </c>
    </row>
    <row r="345" customFormat="false" ht="15" hidden="false" customHeight="false" outlineLevel="0" collapsed="false">
      <c r="A345" s="3"/>
      <c r="B345" s="0" t="str">
        <f aca="false">IF(A345="","",INT((A345-$S$2)/7)+1)</f>
        <v/>
      </c>
    </row>
    <row r="346" customFormat="false" ht="15" hidden="false" customHeight="false" outlineLevel="0" collapsed="false">
      <c r="A346" s="3"/>
      <c r="B346" s="0" t="str">
        <f aca="false">IF(A346="","",INT((A346-$S$2)/7)+1)</f>
        <v/>
      </c>
    </row>
    <row r="347" customFormat="false" ht="15" hidden="false" customHeight="false" outlineLevel="0" collapsed="false">
      <c r="A347" s="3"/>
      <c r="B347" s="0" t="str">
        <f aca="false">IF(A347="","",INT((A347-$S$2)/7)+1)</f>
        <v/>
      </c>
    </row>
    <row r="348" customFormat="false" ht="15" hidden="false" customHeight="false" outlineLevel="0" collapsed="false">
      <c r="A348" s="3"/>
      <c r="B348" s="0" t="str">
        <f aca="false">IF(A348="","",INT((A348-$S$2)/7)+1)</f>
        <v/>
      </c>
    </row>
    <row r="349" customFormat="false" ht="15" hidden="false" customHeight="false" outlineLevel="0" collapsed="false">
      <c r="A349" s="3"/>
      <c r="B349" s="0" t="str">
        <f aca="false">IF(A349="","",INT((A349-$S$2)/7)+1)</f>
        <v/>
      </c>
    </row>
    <row r="350" customFormat="false" ht="15" hidden="false" customHeight="false" outlineLevel="0" collapsed="false">
      <c r="A350" s="3"/>
      <c r="B350" s="0" t="str">
        <f aca="false">IF(A350="","",INT((A350-$S$2)/7)+1)</f>
        <v/>
      </c>
    </row>
    <row r="351" customFormat="false" ht="15" hidden="false" customHeight="false" outlineLevel="0" collapsed="false">
      <c r="A351" s="3"/>
      <c r="B351" s="0" t="str">
        <f aca="false">IF(A351="","",INT((A351-$S$2)/7)+1)</f>
        <v/>
      </c>
    </row>
    <row r="352" customFormat="false" ht="15" hidden="false" customHeight="false" outlineLevel="0" collapsed="false">
      <c r="A352" s="3"/>
      <c r="B352" s="0" t="str">
        <f aca="false">IF(A352="","",INT((A352-$S$2)/7)+1)</f>
        <v/>
      </c>
    </row>
    <row r="353" customFormat="false" ht="15" hidden="false" customHeight="false" outlineLevel="0" collapsed="false">
      <c r="A353" s="3"/>
      <c r="B353" s="0" t="str">
        <f aca="false">IF(A353="","",INT((A353-$S$2)/7)+1)</f>
        <v/>
      </c>
    </row>
    <row r="354" customFormat="false" ht="15" hidden="false" customHeight="false" outlineLevel="0" collapsed="false">
      <c r="A354" s="3"/>
      <c r="B354" s="0" t="str">
        <f aca="false">IF(A354="","",INT((A354-$S$2)/7)+1)</f>
        <v/>
      </c>
    </row>
    <row r="355" customFormat="false" ht="15" hidden="false" customHeight="false" outlineLevel="0" collapsed="false">
      <c r="A355" s="3"/>
      <c r="B355" s="0" t="str">
        <f aca="false">IF(A355="","",INT((A355-$S$2)/7)+1)</f>
        <v/>
      </c>
    </row>
    <row r="356" customFormat="false" ht="15" hidden="false" customHeight="false" outlineLevel="0" collapsed="false">
      <c r="A356" s="3"/>
      <c r="B356" s="0" t="str">
        <f aca="false">IF(A356="","",INT((A356-$S$2)/7)+1)</f>
        <v/>
      </c>
    </row>
    <row r="357" customFormat="false" ht="15" hidden="false" customHeight="false" outlineLevel="0" collapsed="false">
      <c r="A357" s="3"/>
      <c r="B357" s="0" t="str">
        <f aca="false">IF(A357="","",INT((A357-$S$2)/7)+1)</f>
        <v/>
      </c>
    </row>
    <row r="358" customFormat="false" ht="15" hidden="false" customHeight="false" outlineLevel="0" collapsed="false">
      <c r="A358" s="3"/>
      <c r="B358" s="0" t="str">
        <f aca="false">IF(A358="","",INT((A358-$S$2)/7)+1)</f>
        <v/>
      </c>
    </row>
    <row r="359" customFormat="false" ht="15" hidden="false" customHeight="false" outlineLevel="0" collapsed="false">
      <c r="A359" s="3"/>
      <c r="B359" s="0" t="str">
        <f aca="false">IF(A359="","",INT((A359-$S$2)/7)+1)</f>
        <v/>
      </c>
    </row>
    <row r="360" customFormat="false" ht="15" hidden="false" customHeight="false" outlineLevel="0" collapsed="false">
      <c r="A360" s="3"/>
      <c r="B360" s="0" t="str">
        <f aca="false">IF(A360="","",INT((A360-$S$2)/7)+1)</f>
        <v/>
      </c>
    </row>
    <row r="361" customFormat="false" ht="15" hidden="false" customHeight="false" outlineLevel="0" collapsed="false">
      <c r="A361" s="3"/>
      <c r="B361" s="0" t="str">
        <f aca="false">IF(A361="","",INT((A361-$S$2)/7)+1)</f>
        <v/>
      </c>
    </row>
    <row r="362" customFormat="false" ht="15" hidden="false" customHeight="false" outlineLevel="0" collapsed="false">
      <c r="A362" s="3"/>
      <c r="B362" s="0" t="str">
        <f aca="false">IF(A362="","",INT((A362-$S$2)/7)+1)</f>
        <v/>
      </c>
    </row>
    <row r="363" customFormat="false" ht="15" hidden="false" customHeight="false" outlineLevel="0" collapsed="false">
      <c r="A363" s="3"/>
      <c r="B363" s="0" t="str">
        <f aca="false">IF(A363="","",INT((A363-$S$2)/7)+1)</f>
        <v/>
      </c>
    </row>
    <row r="364" customFormat="false" ht="15" hidden="false" customHeight="false" outlineLevel="0" collapsed="false">
      <c r="A364" s="3"/>
      <c r="B364" s="0" t="str">
        <f aca="false">IF(A364="","",INT((A364-$S$2)/7)+1)</f>
        <v/>
      </c>
    </row>
    <row r="365" customFormat="false" ht="15" hidden="false" customHeight="false" outlineLevel="0" collapsed="false">
      <c r="A365" s="3"/>
      <c r="B365" s="0" t="str">
        <f aca="false">IF(A365="","",INT((A365-$S$2)/7)+1)</f>
        <v/>
      </c>
    </row>
    <row r="366" customFormat="false" ht="15" hidden="false" customHeight="false" outlineLevel="0" collapsed="false">
      <c r="A366" s="3"/>
      <c r="B366" s="0" t="str">
        <f aca="false">IF(A366="","",INT((A366-$S$2)/7)+1)</f>
        <v/>
      </c>
    </row>
    <row r="367" customFormat="false" ht="15" hidden="false" customHeight="false" outlineLevel="0" collapsed="false">
      <c r="A367" s="3"/>
      <c r="B367" s="0" t="str">
        <f aca="false">IF(A367="","",INT((A367-$S$2)/7)+1)</f>
        <v/>
      </c>
    </row>
    <row r="368" customFormat="false" ht="15" hidden="false" customHeight="false" outlineLevel="0" collapsed="false">
      <c r="A368" s="3"/>
      <c r="B368" s="0" t="str">
        <f aca="false">IF(A368="","",INT((A368-$S$2)/7)+1)</f>
        <v/>
      </c>
    </row>
    <row r="369" customFormat="false" ht="15" hidden="false" customHeight="false" outlineLevel="0" collapsed="false">
      <c r="A369" s="3"/>
      <c r="B369" s="0" t="str">
        <f aca="false">IF(A369="","",INT((A369-$S$2)/7)+1)</f>
        <v/>
      </c>
    </row>
    <row r="370" customFormat="false" ht="15" hidden="false" customHeight="false" outlineLevel="0" collapsed="false">
      <c r="A370" s="3"/>
      <c r="B370" s="0" t="str">
        <f aca="false">IF(A370="","",INT((A370-$S$2)/7)+1)</f>
        <v/>
      </c>
    </row>
    <row r="371" customFormat="false" ht="15" hidden="false" customHeight="false" outlineLevel="0" collapsed="false">
      <c r="A371" s="3"/>
      <c r="B371" s="0" t="str">
        <f aca="false">IF(A371="","",INT((A371-$S$2)/7)+1)</f>
        <v/>
      </c>
    </row>
    <row r="372" customFormat="false" ht="15" hidden="false" customHeight="false" outlineLevel="0" collapsed="false">
      <c r="A372" s="3"/>
      <c r="B372" s="0" t="str">
        <f aca="false">IF(A372="","",INT((A372-$S$2)/7)+1)</f>
        <v/>
      </c>
    </row>
    <row r="373" customFormat="false" ht="15" hidden="false" customHeight="false" outlineLevel="0" collapsed="false">
      <c r="A373" s="3"/>
      <c r="B373" s="0" t="str">
        <f aca="false">IF(A373="","",INT((A373-$S$2)/7)+1)</f>
        <v/>
      </c>
    </row>
    <row r="374" customFormat="false" ht="15" hidden="false" customHeight="false" outlineLevel="0" collapsed="false">
      <c r="A374" s="3"/>
      <c r="B374" s="0" t="str">
        <f aca="false">IF(A374="","",INT((A374-$S$2)/7)+1)</f>
        <v/>
      </c>
    </row>
    <row r="375" customFormat="false" ht="15" hidden="false" customHeight="false" outlineLevel="0" collapsed="false">
      <c r="A375" s="3"/>
      <c r="B375" s="0" t="str">
        <f aca="false">IF(A375="","",INT((A375-$S$2)/7)+1)</f>
        <v/>
      </c>
    </row>
    <row r="376" customFormat="false" ht="15" hidden="false" customHeight="false" outlineLevel="0" collapsed="false">
      <c r="A376" s="3"/>
      <c r="B376" s="0" t="str">
        <f aca="false">IF(A376="","",INT((A376-$S$2)/7)+1)</f>
        <v/>
      </c>
    </row>
    <row r="377" customFormat="false" ht="15" hidden="false" customHeight="false" outlineLevel="0" collapsed="false">
      <c r="A377" s="3"/>
      <c r="B377" s="0" t="str">
        <f aca="false">IF(A377="","",INT((A377-$S$2)/7)+1)</f>
        <v/>
      </c>
    </row>
    <row r="378" customFormat="false" ht="15" hidden="false" customHeight="false" outlineLevel="0" collapsed="false">
      <c r="A378" s="3"/>
      <c r="B378" s="0" t="str">
        <f aca="false">IF(A378="","",INT((A378-$S$2)/7)+1)</f>
        <v/>
      </c>
    </row>
    <row r="379" customFormat="false" ht="15" hidden="false" customHeight="false" outlineLevel="0" collapsed="false">
      <c r="A379" s="3"/>
      <c r="B379" s="0" t="str">
        <f aca="false">IF(A379="","",INT((A379-$S$2)/7)+1)</f>
        <v/>
      </c>
    </row>
    <row r="380" customFormat="false" ht="15" hidden="false" customHeight="false" outlineLevel="0" collapsed="false">
      <c r="A380" s="3"/>
      <c r="B380" s="0" t="str">
        <f aca="false">IF(A380="","",INT((A380-$S$2)/7)+1)</f>
        <v/>
      </c>
    </row>
    <row r="381" customFormat="false" ht="15" hidden="false" customHeight="false" outlineLevel="0" collapsed="false">
      <c r="A381" s="3"/>
      <c r="B381" s="0" t="str">
        <f aca="false">IF(A381="","",INT((A381-$S$2)/7)+1)</f>
        <v/>
      </c>
    </row>
    <row r="382" customFormat="false" ht="15" hidden="false" customHeight="false" outlineLevel="0" collapsed="false">
      <c r="A382" s="3"/>
      <c r="B382" s="0" t="str">
        <f aca="false">IF(A382="","",INT((A382-$S$2)/7)+1)</f>
        <v/>
      </c>
    </row>
    <row r="383" customFormat="false" ht="15" hidden="false" customHeight="false" outlineLevel="0" collapsed="false">
      <c r="A383" s="3"/>
      <c r="B383" s="0" t="str">
        <f aca="false">IF(A383="","",INT((A383-$S$2)/7)+1)</f>
        <v/>
      </c>
    </row>
    <row r="384" customFormat="false" ht="15" hidden="false" customHeight="false" outlineLevel="0" collapsed="false">
      <c r="A384" s="3"/>
      <c r="B384" s="0" t="str">
        <f aca="false">IF(A384="","",INT((A384-$S$2)/7)+1)</f>
        <v/>
      </c>
    </row>
    <row r="385" customFormat="false" ht="15" hidden="false" customHeight="false" outlineLevel="0" collapsed="false">
      <c r="A385" s="3"/>
      <c r="B385" s="0" t="str">
        <f aca="false">IF(A385="","",INT((A385-$S$2)/7)+1)</f>
        <v/>
      </c>
    </row>
    <row r="386" customFormat="false" ht="15" hidden="false" customHeight="false" outlineLevel="0" collapsed="false">
      <c r="A386" s="3"/>
      <c r="B386" s="0" t="str">
        <f aca="false">IF(A386="","",INT((A386-$S$2)/7)+1)</f>
        <v/>
      </c>
    </row>
    <row r="387" customFormat="false" ht="15" hidden="false" customHeight="false" outlineLevel="0" collapsed="false">
      <c r="A387" s="3"/>
      <c r="B387" s="0" t="str">
        <f aca="false">IF(A387="","",INT((A387-$S$2)/7)+1)</f>
        <v/>
      </c>
    </row>
    <row r="388" customFormat="false" ht="15" hidden="false" customHeight="false" outlineLevel="0" collapsed="false">
      <c r="A388" s="3"/>
      <c r="B388" s="0" t="str">
        <f aca="false">IF(A388="","",INT((A388-$S$2)/7)+1)</f>
        <v/>
      </c>
    </row>
    <row r="389" customFormat="false" ht="15" hidden="false" customHeight="false" outlineLevel="0" collapsed="false">
      <c r="A389" s="3"/>
      <c r="B389" s="0" t="str">
        <f aca="false">IF(A389="","",INT((A389-$S$2)/7)+1)</f>
        <v/>
      </c>
    </row>
    <row r="390" customFormat="false" ht="15" hidden="false" customHeight="false" outlineLevel="0" collapsed="false">
      <c r="A390" s="3"/>
      <c r="B390" s="0" t="str">
        <f aca="false">IF(A390="","",INT((A390-$S$2)/7)+1)</f>
        <v/>
      </c>
    </row>
    <row r="391" customFormat="false" ht="15" hidden="false" customHeight="false" outlineLevel="0" collapsed="false">
      <c r="A391" s="3"/>
      <c r="B391" s="0" t="str">
        <f aca="false">IF(A391="","",INT((A391-$S$2)/7)+1)</f>
        <v/>
      </c>
    </row>
    <row r="392" customFormat="false" ht="15" hidden="false" customHeight="false" outlineLevel="0" collapsed="false">
      <c r="A392" s="3"/>
      <c r="B392" s="0" t="str">
        <f aca="false">IF(A392="","",INT((A392-$S$2)/7)+1)</f>
        <v/>
      </c>
    </row>
    <row r="393" customFormat="false" ht="15" hidden="false" customHeight="false" outlineLevel="0" collapsed="false">
      <c r="A393" s="3"/>
      <c r="B393" s="0" t="str">
        <f aca="false">IF(A393="","",INT((A393-$S$2)/7)+1)</f>
        <v/>
      </c>
    </row>
    <row r="394" customFormat="false" ht="15" hidden="false" customHeight="false" outlineLevel="0" collapsed="false">
      <c r="A394" s="3"/>
      <c r="B394" s="0" t="str">
        <f aca="false">IF(A394="","",INT((A394-$S$2)/7)+1)</f>
        <v/>
      </c>
    </row>
    <row r="395" customFormat="false" ht="15" hidden="false" customHeight="false" outlineLevel="0" collapsed="false">
      <c r="A395" s="3"/>
      <c r="B395" s="0" t="str">
        <f aca="false">IF(A395="","",INT((A395-$S$2)/7)+1)</f>
        <v/>
      </c>
    </row>
    <row r="396" customFormat="false" ht="15" hidden="false" customHeight="false" outlineLevel="0" collapsed="false">
      <c r="A396" s="3"/>
      <c r="B396" s="0" t="str">
        <f aca="false">IF(A396="","",INT((A396-$S$2)/7)+1)</f>
        <v/>
      </c>
    </row>
    <row r="397" customFormat="false" ht="15" hidden="false" customHeight="false" outlineLevel="0" collapsed="false">
      <c r="A397" s="3"/>
      <c r="B397" s="0" t="str">
        <f aca="false">IF(A397="","",INT((A397-$S$2)/7)+1)</f>
        <v/>
      </c>
    </row>
    <row r="398" customFormat="false" ht="15" hidden="false" customHeight="false" outlineLevel="0" collapsed="false">
      <c r="A398" s="3"/>
      <c r="B398" s="0" t="str">
        <f aca="false">IF(A398="","",INT((A398-$S$2)/7)+1)</f>
        <v/>
      </c>
    </row>
    <row r="399" customFormat="false" ht="15" hidden="false" customHeight="false" outlineLevel="0" collapsed="false">
      <c r="A399" s="3"/>
      <c r="B399" s="0" t="str">
        <f aca="false">IF(A399="","",INT((A399-$S$2)/7)+1)</f>
        <v/>
      </c>
    </row>
    <row r="400" customFormat="false" ht="15" hidden="false" customHeight="false" outlineLevel="0" collapsed="false">
      <c r="A400" s="3"/>
      <c r="B400" s="0" t="str">
        <f aca="false">IF(A400="","",INT((A400-$S$2)/7)+1)</f>
        <v/>
      </c>
    </row>
    <row r="401" customFormat="false" ht="15" hidden="false" customHeight="false" outlineLevel="0" collapsed="false">
      <c r="A401" s="3"/>
      <c r="B401" s="0" t="str">
        <f aca="false">IF(A401="","",INT((A401-$S$2)/7)+1)</f>
        <v/>
      </c>
    </row>
    <row r="402" customFormat="false" ht="15" hidden="false" customHeight="false" outlineLevel="0" collapsed="false">
      <c r="A402" s="3"/>
      <c r="B402" s="0" t="str">
        <f aca="false">IF(A402="","",INT((A402-$S$2)/7)+1)</f>
        <v/>
      </c>
    </row>
    <row r="403" customFormat="false" ht="15" hidden="false" customHeight="false" outlineLevel="0" collapsed="false">
      <c r="A403" s="3"/>
      <c r="B403" s="0" t="str">
        <f aca="false">IF(A403="","",INT((A403-$S$2)/7)+1)</f>
        <v/>
      </c>
    </row>
    <row r="404" customFormat="false" ht="15" hidden="false" customHeight="false" outlineLevel="0" collapsed="false">
      <c r="A404" s="3"/>
      <c r="B404" s="0" t="str">
        <f aca="false">IF(A404="","",INT((A404-$S$2)/7)+1)</f>
        <v/>
      </c>
    </row>
    <row r="405" customFormat="false" ht="15" hidden="false" customHeight="false" outlineLevel="0" collapsed="false">
      <c r="A405" s="3"/>
      <c r="B405" s="0" t="str">
        <f aca="false">IF(A405="","",INT((A405-$S$2)/7)+1)</f>
        <v/>
      </c>
    </row>
    <row r="406" customFormat="false" ht="15" hidden="false" customHeight="false" outlineLevel="0" collapsed="false">
      <c r="A406" s="3"/>
      <c r="B406" s="0" t="str">
        <f aca="false">IF(A406="","",INT((A406-$S$2)/7)+1)</f>
        <v/>
      </c>
    </row>
    <row r="407" customFormat="false" ht="15" hidden="false" customHeight="false" outlineLevel="0" collapsed="false">
      <c r="A407" s="3"/>
      <c r="B407" s="0" t="str">
        <f aca="false">IF(A407="","",INT((A407-$S$2)/7)+1)</f>
        <v/>
      </c>
    </row>
    <row r="408" customFormat="false" ht="15" hidden="false" customHeight="false" outlineLevel="0" collapsed="false">
      <c r="A408" s="3"/>
      <c r="B408" s="0" t="str">
        <f aca="false">IF(A408="","",INT((A408-$S$2)/7)+1)</f>
        <v/>
      </c>
    </row>
    <row r="409" customFormat="false" ht="15" hidden="false" customHeight="false" outlineLevel="0" collapsed="false">
      <c r="A409" s="3"/>
      <c r="B409" s="0" t="str">
        <f aca="false">IF(A409="","",INT((A409-$S$2)/7)+1)</f>
        <v/>
      </c>
    </row>
    <row r="410" customFormat="false" ht="15" hidden="false" customHeight="false" outlineLevel="0" collapsed="false">
      <c r="A410" s="3"/>
      <c r="B410" s="0" t="str">
        <f aca="false">IF(A410="","",INT((A410-$S$2)/7)+1)</f>
        <v/>
      </c>
    </row>
    <row r="411" customFormat="false" ht="15" hidden="false" customHeight="false" outlineLevel="0" collapsed="false">
      <c r="A411" s="3"/>
      <c r="B411" s="0" t="str">
        <f aca="false">IF(A411="","",INT((A411-$S$2)/7)+1)</f>
        <v/>
      </c>
    </row>
    <row r="412" customFormat="false" ht="15" hidden="false" customHeight="false" outlineLevel="0" collapsed="false">
      <c r="A412" s="3"/>
      <c r="B412" s="0" t="str">
        <f aca="false">IF(A412="","",INT((A412-$S$2)/7)+1)</f>
        <v/>
      </c>
    </row>
    <row r="413" customFormat="false" ht="15" hidden="false" customHeight="false" outlineLevel="0" collapsed="false">
      <c r="A413" s="3"/>
      <c r="B413" s="0" t="str">
        <f aca="false">IF(A413="","",INT((A413-$S$2)/7)+1)</f>
        <v/>
      </c>
    </row>
    <row r="414" customFormat="false" ht="15" hidden="false" customHeight="false" outlineLevel="0" collapsed="false">
      <c r="A414" s="3"/>
      <c r="B414" s="0" t="str">
        <f aca="false">IF(A414="","",INT((A414-$S$2)/7)+1)</f>
        <v/>
      </c>
    </row>
    <row r="415" customFormat="false" ht="15" hidden="false" customHeight="false" outlineLevel="0" collapsed="false">
      <c r="A415" s="3"/>
      <c r="B415" s="0" t="str">
        <f aca="false">IF(A415="","",INT((A415-$S$2)/7)+1)</f>
        <v/>
      </c>
    </row>
    <row r="416" customFormat="false" ht="15" hidden="false" customHeight="false" outlineLevel="0" collapsed="false">
      <c r="A416" s="3"/>
      <c r="B416" s="0" t="str">
        <f aca="false">IF(A416="","",INT((A416-$S$2)/7)+1)</f>
        <v/>
      </c>
    </row>
    <row r="417" customFormat="false" ht="15" hidden="false" customHeight="false" outlineLevel="0" collapsed="false">
      <c r="A417" s="3"/>
      <c r="B417" s="0" t="str">
        <f aca="false">IF(A417="","",INT((A417-$S$2)/7)+1)</f>
        <v/>
      </c>
    </row>
    <row r="418" customFormat="false" ht="15" hidden="false" customHeight="false" outlineLevel="0" collapsed="false">
      <c r="A418" s="3"/>
      <c r="B418" s="0" t="str">
        <f aca="false">IF(A418="","",INT((A418-$S$2)/7)+1)</f>
        <v/>
      </c>
    </row>
    <row r="419" customFormat="false" ht="15" hidden="false" customHeight="false" outlineLevel="0" collapsed="false">
      <c r="A419" s="3"/>
      <c r="B419" s="0" t="str">
        <f aca="false">IF(A419="","",INT((A419-$S$2)/7)+1)</f>
        <v/>
      </c>
    </row>
    <row r="420" customFormat="false" ht="15" hidden="false" customHeight="false" outlineLevel="0" collapsed="false">
      <c r="A420" s="3"/>
      <c r="B420" s="0" t="str">
        <f aca="false">IF(A420="","",INT((A420-$S$2)/7)+1)</f>
        <v/>
      </c>
    </row>
    <row r="421" customFormat="false" ht="15" hidden="false" customHeight="false" outlineLevel="0" collapsed="false">
      <c r="A421" s="3"/>
      <c r="B421" s="0" t="str">
        <f aca="false">IF(A421="","",INT((A421-$S$2)/7)+1)</f>
        <v/>
      </c>
    </row>
    <row r="422" customFormat="false" ht="15" hidden="false" customHeight="false" outlineLevel="0" collapsed="false">
      <c r="A422" s="3"/>
      <c r="B422" s="0" t="str">
        <f aca="false">IF(A422="","",INT((A422-$S$2)/7)+1)</f>
        <v/>
      </c>
    </row>
    <row r="423" customFormat="false" ht="15" hidden="false" customHeight="false" outlineLevel="0" collapsed="false">
      <c r="A423" s="3"/>
      <c r="B423" s="0" t="str">
        <f aca="false">IF(A423="","",INT((A423-$S$2)/7)+1)</f>
        <v/>
      </c>
    </row>
    <row r="424" customFormat="false" ht="15" hidden="false" customHeight="false" outlineLevel="0" collapsed="false">
      <c r="A424" s="3"/>
      <c r="B424" s="0" t="str">
        <f aca="false">IF(A424="","",INT((A424-$S$2)/7)+1)</f>
        <v/>
      </c>
    </row>
    <row r="425" customFormat="false" ht="15" hidden="false" customHeight="false" outlineLevel="0" collapsed="false">
      <c r="A425" s="3"/>
      <c r="B425" s="0" t="str">
        <f aca="false">IF(A425="","",INT((A425-$S$2)/7)+1)</f>
        <v/>
      </c>
    </row>
    <row r="426" customFormat="false" ht="15" hidden="false" customHeight="false" outlineLevel="0" collapsed="false">
      <c r="A426" s="3"/>
      <c r="B426" s="0" t="str">
        <f aca="false">IF(A426="","",INT((A426-$S$2)/7)+1)</f>
        <v/>
      </c>
    </row>
    <row r="427" customFormat="false" ht="15" hidden="false" customHeight="false" outlineLevel="0" collapsed="false">
      <c r="A427" s="3"/>
      <c r="B427" s="0" t="str">
        <f aca="false">IF(A427="","",INT((A427-$S$2)/7)+1)</f>
        <v/>
      </c>
    </row>
    <row r="428" customFormat="false" ht="15" hidden="false" customHeight="false" outlineLevel="0" collapsed="false">
      <c r="A428" s="3"/>
      <c r="B428" s="0" t="str">
        <f aca="false">IF(A428="","",INT((A428-$S$2)/7)+1)</f>
        <v/>
      </c>
    </row>
    <row r="429" customFormat="false" ht="15" hidden="false" customHeight="false" outlineLevel="0" collapsed="false">
      <c r="A429" s="3"/>
      <c r="B429" s="0" t="str">
        <f aca="false">IF(A429="","",INT((A429-$S$2)/7)+1)</f>
        <v/>
      </c>
    </row>
    <row r="430" customFormat="false" ht="15" hidden="false" customHeight="false" outlineLevel="0" collapsed="false">
      <c r="A430" s="3"/>
      <c r="B430" s="0" t="str">
        <f aca="false">IF(A430="","",INT((A430-$S$2)/7)+1)</f>
        <v/>
      </c>
    </row>
    <row r="431" customFormat="false" ht="15" hidden="false" customHeight="false" outlineLevel="0" collapsed="false">
      <c r="A431" s="3"/>
      <c r="B431" s="0" t="str">
        <f aca="false">IF(A431="","",INT((A431-$S$2)/7)+1)</f>
        <v/>
      </c>
    </row>
    <row r="432" customFormat="false" ht="15" hidden="false" customHeight="false" outlineLevel="0" collapsed="false">
      <c r="A432" s="3"/>
      <c r="B432" s="0" t="str">
        <f aca="false">IF(A432="","",INT((A432-$S$2)/7)+1)</f>
        <v/>
      </c>
    </row>
    <row r="433" customFormat="false" ht="15" hidden="false" customHeight="false" outlineLevel="0" collapsed="false">
      <c r="A433" s="3"/>
      <c r="B433" s="0" t="str">
        <f aca="false">IF(A433="","",INT((A433-$S$2)/7)+1)</f>
        <v/>
      </c>
    </row>
    <row r="434" customFormat="false" ht="15" hidden="false" customHeight="false" outlineLevel="0" collapsed="false">
      <c r="A434" s="3"/>
      <c r="B434" s="0" t="str">
        <f aca="false">IF(A434="","",INT((A434-$S$2)/7)+1)</f>
        <v/>
      </c>
    </row>
    <row r="435" customFormat="false" ht="15" hidden="false" customHeight="false" outlineLevel="0" collapsed="false">
      <c r="A435" s="3"/>
      <c r="B435" s="0" t="str">
        <f aca="false">IF(A435="","",INT((A435-$S$2)/7)+1)</f>
        <v/>
      </c>
    </row>
    <row r="436" customFormat="false" ht="15" hidden="false" customHeight="false" outlineLevel="0" collapsed="false">
      <c r="A436" s="3"/>
      <c r="B436" s="0" t="str">
        <f aca="false">IF(A436="","",INT((A436-$S$2)/7)+1)</f>
        <v/>
      </c>
    </row>
    <row r="437" customFormat="false" ht="15" hidden="false" customHeight="false" outlineLevel="0" collapsed="false">
      <c r="A437" s="3"/>
      <c r="B437" s="0" t="str">
        <f aca="false">IF(A437="","",INT((A437-$S$2)/7)+1)</f>
        <v/>
      </c>
    </row>
    <row r="438" customFormat="false" ht="15" hidden="false" customHeight="false" outlineLevel="0" collapsed="false">
      <c r="A438" s="3"/>
      <c r="B438" s="0" t="str">
        <f aca="false">IF(A438="","",INT((A438-$S$2)/7)+1)</f>
        <v/>
      </c>
    </row>
    <row r="439" customFormat="false" ht="15" hidden="false" customHeight="false" outlineLevel="0" collapsed="false">
      <c r="A439" s="3"/>
      <c r="B439" s="0" t="str">
        <f aca="false">IF(A439="","",INT((A439-$S$2)/7)+1)</f>
        <v/>
      </c>
    </row>
    <row r="440" customFormat="false" ht="15" hidden="false" customHeight="false" outlineLevel="0" collapsed="false">
      <c r="A440" s="3"/>
      <c r="B440" s="0" t="str">
        <f aca="false">IF(A440="","",INT((A440-$S$2)/7)+1)</f>
        <v/>
      </c>
    </row>
    <row r="441" customFormat="false" ht="15" hidden="false" customHeight="false" outlineLevel="0" collapsed="false">
      <c r="A441" s="3"/>
      <c r="B441" s="0" t="str">
        <f aca="false">IF(A441="","",INT((A441-$S$2)/7)+1)</f>
        <v/>
      </c>
    </row>
    <row r="442" customFormat="false" ht="15" hidden="false" customHeight="false" outlineLevel="0" collapsed="false">
      <c r="A442" s="3"/>
      <c r="B442" s="0" t="str">
        <f aca="false">IF(A442="","",INT((A442-$S$2)/7)+1)</f>
        <v/>
      </c>
    </row>
    <row r="443" customFormat="false" ht="15" hidden="false" customHeight="false" outlineLevel="0" collapsed="false">
      <c r="A443" s="3"/>
      <c r="B443" s="0" t="str">
        <f aca="false">IF(A443="","",INT((A443-$S$2)/7)+1)</f>
        <v/>
      </c>
    </row>
    <row r="444" customFormat="false" ht="15" hidden="false" customHeight="false" outlineLevel="0" collapsed="false">
      <c r="A444" s="3"/>
      <c r="B444" s="0" t="str">
        <f aca="false">IF(A444="","",INT((A444-$S$2)/7)+1)</f>
        <v/>
      </c>
    </row>
    <row r="445" customFormat="false" ht="15" hidden="false" customHeight="false" outlineLevel="0" collapsed="false">
      <c r="A445" s="3"/>
      <c r="B445" s="0" t="str">
        <f aca="false">IF(A445="","",INT((A445-$S$2)/7)+1)</f>
        <v/>
      </c>
    </row>
    <row r="446" customFormat="false" ht="15" hidden="false" customHeight="false" outlineLevel="0" collapsed="false">
      <c r="A446" s="3"/>
      <c r="B446" s="0" t="str">
        <f aca="false">IF(A446="","",INT((A446-$S$2)/7)+1)</f>
        <v/>
      </c>
    </row>
    <row r="447" customFormat="false" ht="15" hidden="false" customHeight="false" outlineLevel="0" collapsed="false">
      <c r="A447" s="3"/>
      <c r="B447" s="0" t="str">
        <f aca="false">IF(A447="","",INT((A447-$S$2)/7)+1)</f>
        <v/>
      </c>
    </row>
    <row r="448" customFormat="false" ht="15" hidden="false" customHeight="false" outlineLevel="0" collapsed="false">
      <c r="A448" s="3"/>
      <c r="B448" s="0" t="str">
        <f aca="false">IF(A448="","",INT((A448-$S$2)/7)+1)</f>
        <v/>
      </c>
    </row>
    <row r="449" customFormat="false" ht="15" hidden="false" customHeight="false" outlineLevel="0" collapsed="false">
      <c r="A449" s="3"/>
      <c r="B449" s="0" t="str">
        <f aca="false">IF(A449="","",INT((A449-$S$2)/7)+1)</f>
        <v/>
      </c>
    </row>
    <row r="450" customFormat="false" ht="15" hidden="false" customHeight="false" outlineLevel="0" collapsed="false">
      <c r="A450" s="3"/>
      <c r="B450" s="0" t="str">
        <f aca="false">IF(A450="","",INT((A450-$S$2)/7)+1)</f>
        <v/>
      </c>
    </row>
    <row r="451" customFormat="false" ht="15" hidden="false" customHeight="false" outlineLevel="0" collapsed="false">
      <c r="A451" s="3"/>
      <c r="B451" s="0" t="str">
        <f aca="false">IF(A451="","",INT((A451-$S$2)/7)+1)</f>
        <v/>
      </c>
    </row>
    <row r="452" customFormat="false" ht="15" hidden="false" customHeight="false" outlineLevel="0" collapsed="false">
      <c r="A452" s="3"/>
      <c r="B452" s="0" t="str">
        <f aca="false">IF(A452="","",INT((A452-$S$2)/7)+1)</f>
        <v/>
      </c>
    </row>
    <row r="453" customFormat="false" ht="15" hidden="false" customHeight="false" outlineLevel="0" collapsed="false">
      <c r="A453" s="3"/>
      <c r="B453" s="0" t="str">
        <f aca="false">IF(A453="","",INT((A453-$S$2)/7)+1)</f>
        <v/>
      </c>
    </row>
    <row r="454" customFormat="false" ht="15" hidden="false" customHeight="false" outlineLevel="0" collapsed="false">
      <c r="A454" s="3"/>
      <c r="B454" s="0" t="str">
        <f aca="false">IF(A454="","",INT((A454-$S$2)/7)+1)</f>
        <v/>
      </c>
    </row>
    <row r="455" customFormat="false" ht="15" hidden="false" customHeight="false" outlineLevel="0" collapsed="false">
      <c r="A455" s="3"/>
      <c r="B455" s="0" t="str">
        <f aca="false">IF(A455="","",INT((A455-$S$2)/7)+1)</f>
        <v/>
      </c>
    </row>
    <row r="456" customFormat="false" ht="15" hidden="false" customHeight="false" outlineLevel="0" collapsed="false">
      <c r="A456" s="3"/>
      <c r="B456" s="0" t="str">
        <f aca="false">IF(A456="","",INT((A456-$S$2)/7)+1)</f>
        <v/>
      </c>
    </row>
    <row r="457" customFormat="false" ht="15" hidden="false" customHeight="false" outlineLevel="0" collapsed="false">
      <c r="A457" s="3"/>
      <c r="B457" s="0" t="str">
        <f aca="false">IF(A457="","",INT((A457-$S$2)/7)+1)</f>
        <v/>
      </c>
    </row>
    <row r="458" customFormat="false" ht="15" hidden="false" customHeight="false" outlineLevel="0" collapsed="false">
      <c r="A458" s="3"/>
      <c r="B458" s="0" t="str">
        <f aca="false">IF(A458="","",INT((A458-$S$2)/7)+1)</f>
        <v/>
      </c>
    </row>
    <row r="459" customFormat="false" ht="15" hidden="false" customHeight="false" outlineLevel="0" collapsed="false">
      <c r="A459" s="3"/>
      <c r="B459" s="0" t="str">
        <f aca="false">IF(A459="","",INT((A459-$S$2)/7)+1)</f>
        <v/>
      </c>
    </row>
    <row r="460" customFormat="false" ht="15" hidden="false" customHeight="false" outlineLevel="0" collapsed="false">
      <c r="A460" s="3"/>
      <c r="B460" s="0" t="str">
        <f aca="false">IF(A460="","",INT((A460-$S$2)/7)+1)</f>
        <v/>
      </c>
    </row>
    <row r="461" customFormat="false" ht="15" hidden="false" customHeight="false" outlineLevel="0" collapsed="false">
      <c r="A461" s="3"/>
      <c r="B461" s="0" t="str">
        <f aca="false">IF(A461="","",INT((A461-$S$2)/7)+1)</f>
        <v/>
      </c>
    </row>
    <row r="462" customFormat="false" ht="15" hidden="false" customHeight="false" outlineLevel="0" collapsed="false">
      <c r="A462" s="3"/>
      <c r="B462" s="0" t="str">
        <f aca="false">IF(A462="","",INT((A462-$S$2)/7)+1)</f>
        <v/>
      </c>
    </row>
    <row r="463" customFormat="false" ht="15" hidden="false" customHeight="false" outlineLevel="0" collapsed="false">
      <c r="A463" s="3"/>
      <c r="B463" s="0" t="str">
        <f aca="false">IF(A463="","",INT((A463-$S$2)/7)+1)</f>
        <v/>
      </c>
    </row>
    <row r="464" customFormat="false" ht="15" hidden="false" customHeight="false" outlineLevel="0" collapsed="false">
      <c r="A464" s="3"/>
      <c r="B464" s="0" t="str">
        <f aca="false">IF(A464="","",INT((A464-$S$2)/7)+1)</f>
        <v/>
      </c>
    </row>
    <row r="465" customFormat="false" ht="15" hidden="false" customHeight="false" outlineLevel="0" collapsed="false">
      <c r="A465" s="3"/>
      <c r="B465" s="0" t="str">
        <f aca="false">IF(A465="","",INT((A465-$S$2)/7)+1)</f>
        <v/>
      </c>
    </row>
    <row r="466" customFormat="false" ht="15" hidden="false" customHeight="false" outlineLevel="0" collapsed="false">
      <c r="A466" s="3"/>
      <c r="B466" s="0" t="str">
        <f aca="false">IF(A466="","",INT((A466-$S$2)/7)+1)</f>
        <v/>
      </c>
    </row>
    <row r="467" customFormat="false" ht="15" hidden="false" customHeight="false" outlineLevel="0" collapsed="false">
      <c r="A467" s="3"/>
      <c r="B467" s="0" t="str">
        <f aca="false">IF(A467="","",INT((A467-$S$2)/7)+1)</f>
        <v/>
      </c>
    </row>
    <row r="468" customFormat="false" ht="15" hidden="false" customHeight="false" outlineLevel="0" collapsed="false">
      <c r="A468" s="3"/>
      <c r="B468" s="0" t="str">
        <f aca="false">IF(A468="","",INT((A468-$S$2)/7)+1)</f>
        <v/>
      </c>
    </row>
    <row r="469" customFormat="false" ht="15" hidden="false" customHeight="false" outlineLevel="0" collapsed="false">
      <c r="A469" s="3"/>
      <c r="B469" s="0" t="str">
        <f aca="false">IF(A469="","",INT((A469-$S$2)/7)+1)</f>
        <v/>
      </c>
    </row>
    <row r="470" customFormat="false" ht="15" hidden="false" customHeight="false" outlineLevel="0" collapsed="false">
      <c r="A470" s="3"/>
      <c r="B470" s="0" t="str">
        <f aca="false">IF(A470="","",INT((A470-$S$2)/7)+1)</f>
        <v/>
      </c>
    </row>
    <row r="471" customFormat="false" ht="15" hidden="false" customHeight="false" outlineLevel="0" collapsed="false">
      <c r="A471" s="3"/>
      <c r="B471" s="0" t="str">
        <f aca="false">IF(A471="","",INT((A471-$S$2)/7)+1)</f>
        <v/>
      </c>
    </row>
    <row r="472" customFormat="false" ht="15" hidden="false" customHeight="false" outlineLevel="0" collapsed="false">
      <c r="A472" s="3"/>
      <c r="B472" s="0" t="str">
        <f aca="false">IF(A472="","",INT((A472-$S$2)/7)+1)</f>
        <v/>
      </c>
    </row>
    <row r="473" customFormat="false" ht="15" hidden="false" customHeight="false" outlineLevel="0" collapsed="false">
      <c r="A473" s="3"/>
      <c r="B473" s="0" t="str">
        <f aca="false">IF(A473="","",INT((A473-$S$2)/7)+1)</f>
        <v/>
      </c>
    </row>
    <row r="474" customFormat="false" ht="15" hidden="false" customHeight="false" outlineLevel="0" collapsed="false">
      <c r="A474" s="3"/>
      <c r="B474" s="0" t="str">
        <f aca="false">IF(A474="","",INT((A474-$S$2)/7)+1)</f>
        <v/>
      </c>
    </row>
    <row r="475" customFormat="false" ht="15" hidden="false" customHeight="false" outlineLevel="0" collapsed="false">
      <c r="A475" s="3"/>
      <c r="B475" s="0" t="str">
        <f aca="false">IF(A475="","",INT((A475-$S$2)/7)+1)</f>
        <v/>
      </c>
    </row>
    <row r="476" customFormat="false" ht="15" hidden="false" customHeight="false" outlineLevel="0" collapsed="false">
      <c r="A476" s="3"/>
      <c r="B476" s="0" t="str">
        <f aca="false">IF(A476="","",INT((A476-$S$2)/7)+1)</f>
        <v/>
      </c>
    </row>
    <row r="477" customFormat="false" ht="15" hidden="false" customHeight="false" outlineLevel="0" collapsed="false">
      <c r="A477" s="3"/>
      <c r="B477" s="0" t="str">
        <f aca="false">IF(A477="","",INT((A477-$S$2)/7)+1)</f>
        <v/>
      </c>
    </row>
    <row r="478" customFormat="false" ht="15" hidden="false" customHeight="false" outlineLevel="0" collapsed="false">
      <c r="A478" s="3"/>
      <c r="B478" s="0" t="str">
        <f aca="false">IF(A478="","",INT((A478-$S$2)/7)+1)</f>
        <v/>
      </c>
    </row>
    <row r="479" customFormat="false" ht="15" hidden="false" customHeight="false" outlineLevel="0" collapsed="false">
      <c r="A479" s="3"/>
      <c r="B479" s="0" t="str">
        <f aca="false">IF(A479="","",INT((A479-$S$2)/7)+1)</f>
        <v/>
      </c>
    </row>
    <row r="480" customFormat="false" ht="15" hidden="false" customHeight="false" outlineLevel="0" collapsed="false">
      <c r="A480" s="3"/>
      <c r="B480" s="0" t="str">
        <f aca="false">IF(A480="","",INT((A480-$S$2)/7)+1)</f>
        <v/>
      </c>
    </row>
    <row r="481" customFormat="false" ht="15" hidden="false" customHeight="false" outlineLevel="0" collapsed="false">
      <c r="A481" s="3"/>
      <c r="B481" s="0" t="str">
        <f aca="false">IF(A481="","",INT((A481-$S$2)/7)+1)</f>
        <v/>
      </c>
    </row>
    <row r="482" customFormat="false" ht="15" hidden="false" customHeight="false" outlineLevel="0" collapsed="false">
      <c r="A482" s="3"/>
      <c r="B482" s="0" t="str">
        <f aca="false">IF(A482="","",INT((A482-$S$2)/7)+1)</f>
        <v/>
      </c>
    </row>
    <row r="483" customFormat="false" ht="15" hidden="false" customHeight="false" outlineLevel="0" collapsed="false">
      <c r="A483" s="3"/>
      <c r="B483" s="0" t="str">
        <f aca="false">IF(A483="","",INT((A483-$S$2)/7)+1)</f>
        <v/>
      </c>
    </row>
    <row r="484" customFormat="false" ht="15" hidden="false" customHeight="false" outlineLevel="0" collapsed="false">
      <c r="A484" s="3"/>
      <c r="B484" s="0" t="str">
        <f aca="false">IF(A484="","",INT((A484-$S$2)/7)+1)</f>
        <v/>
      </c>
    </row>
    <row r="485" customFormat="false" ht="15" hidden="false" customHeight="false" outlineLevel="0" collapsed="false">
      <c r="A485" s="3"/>
      <c r="B485" s="0" t="str">
        <f aca="false">IF(A485="","",INT((A485-$S$2)/7)+1)</f>
        <v/>
      </c>
    </row>
    <row r="486" customFormat="false" ht="15" hidden="false" customHeight="false" outlineLevel="0" collapsed="false">
      <c r="A486" s="3"/>
      <c r="B486" s="0" t="str">
        <f aca="false">IF(A486="","",INT((A486-$S$2)/7)+1)</f>
        <v/>
      </c>
    </row>
    <row r="487" customFormat="false" ht="15" hidden="false" customHeight="false" outlineLevel="0" collapsed="false">
      <c r="A487" s="3"/>
      <c r="B487" s="0" t="str">
        <f aca="false">IF(A487="","",INT((A487-$S$2)/7)+1)</f>
        <v/>
      </c>
    </row>
    <row r="488" customFormat="false" ht="15" hidden="false" customHeight="false" outlineLevel="0" collapsed="false">
      <c r="A488" s="3"/>
      <c r="B488" s="0" t="str">
        <f aca="false">IF(A488="","",INT((A488-$S$2)/7)+1)</f>
        <v/>
      </c>
    </row>
    <row r="489" customFormat="false" ht="15" hidden="false" customHeight="false" outlineLevel="0" collapsed="false">
      <c r="A489" s="3"/>
      <c r="B489" s="0" t="str">
        <f aca="false">IF(A489="","",INT((A489-$S$2)/7)+1)</f>
        <v/>
      </c>
    </row>
    <row r="490" customFormat="false" ht="15" hidden="false" customHeight="false" outlineLevel="0" collapsed="false">
      <c r="A490" s="3"/>
      <c r="B490" s="0" t="str">
        <f aca="false">IF(A490="","",INT((A490-$S$2)/7)+1)</f>
        <v/>
      </c>
    </row>
    <row r="491" customFormat="false" ht="15" hidden="false" customHeight="false" outlineLevel="0" collapsed="false">
      <c r="A491" s="3"/>
      <c r="B491" s="0" t="str">
        <f aca="false">IF(A491="","",INT((A491-$S$2)/7)+1)</f>
        <v/>
      </c>
    </row>
    <row r="492" customFormat="false" ht="15" hidden="false" customHeight="false" outlineLevel="0" collapsed="false">
      <c r="A492" s="3"/>
      <c r="B492" s="0" t="str">
        <f aca="false">IF(A492="","",INT((A492-$S$2)/7)+1)</f>
        <v/>
      </c>
    </row>
    <row r="493" customFormat="false" ht="15" hidden="false" customHeight="false" outlineLevel="0" collapsed="false">
      <c r="A493" s="3"/>
      <c r="B493" s="0" t="str">
        <f aca="false">IF(A493="","",INT((A493-$S$2)/7)+1)</f>
        <v/>
      </c>
    </row>
    <row r="494" customFormat="false" ht="15" hidden="false" customHeight="false" outlineLevel="0" collapsed="false">
      <c r="A494" s="3"/>
      <c r="B494" s="0" t="str">
        <f aca="false">IF(A494="","",INT((A494-$S$2)/7)+1)</f>
        <v/>
      </c>
    </row>
    <row r="495" customFormat="false" ht="15" hidden="false" customHeight="false" outlineLevel="0" collapsed="false">
      <c r="A495" s="3"/>
      <c r="B495" s="0" t="str">
        <f aca="false">IF(A495="","",INT((A495-$S$2)/7)+1)</f>
        <v/>
      </c>
    </row>
    <row r="496" customFormat="false" ht="15" hidden="false" customHeight="false" outlineLevel="0" collapsed="false">
      <c r="A496" s="3"/>
      <c r="B496" s="0" t="str">
        <f aca="false">IF(A496="","",INT((A496-$S$2)/7)+1)</f>
        <v/>
      </c>
    </row>
    <row r="497" customFormat="false" ht="15" hidden="false" customHeight="false" outlineLevel="0" collapsed="false">
      <c r="A497" s="3"/>
      <c r="B497" s="0" t="str">
        <f aca="false">IF(A497="","",INT((A497-$S$2)/7)+1)</f>
        <v/>
      </c>
    </row>
    <row r="498" customFormat="false" ht="15" hidden="false" customHeight="false" outlineLevel="0" collapsed="false">
      <c r="A498" s="3"/>
      <c r="B498" s="0" t="str">
        <f aca="false">IF(A498="","",INT((A498-$S$2)/7)+1)</f>
        <v/>
      </c>
    </row>
    <row r="499" customFormat="false" ht="15" hidden="false" customHeight="false" outlineLevel="0" collapsed="false">
      <c r="A499" s="3"/>
      <c r="B499" s="0" t="str">
        <f aca="false">IF(A499="","",INT((A499-$S$2)/7)+1)</f>
        <v/>
      </c>
    </row>
    <row r="500" customFormat="false" ht="15" hidden="false" customHeight="false" outlineLevel="0" collapsed="false">
      <c r="A500" s="3"/>
      <c r="B500" s="0" t="str">
        <f aca="false">IF(A500="","",INT((A500-$S$2)/7)+1)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2" customFormat="false" ht="15" hidden="false" customHeight="false" outlineLevel="0" collapsed="false">
      <c r="A2" s="0" t="n">
        <v>1</v>
      </c>
      <c r="B2" s="0" t="str">
        <f aca="false">IFERROR(TEXT(_xlfn.MINIFS(Data!$A$2:$A$500,Data!$B$2:$B$500,1),"d mmm"),"")</f>
        <v>10 Jun</v>
      </c>
      <c r="C2" s="0" t="str">
        <f aca="false">IFERROR(TEXT(_xlfn.MAXIFS(Data!$A$2:$A$500,Data!$B$2:$B$500,1),"d mmm"),"")</f>
        <v>16 Jun</v>
      </c>
      <c r="D2" s="0" t="n">
        <f aca="false">COUNTIFS(Data!$B$2:$B$500,1)</f>
        <v>7</v>
      </c>
      <c r="E2" s="5" t="n">
        <f aca="false">IFERROR(AVERAGEIFS(Data!$L$2:$L$500,Data!$B$2:$B$500,1),"–")</f>
        <v>5.92857142857143</v>
      </c>
      <c r="F2" s="5" t="n">
        <f aca="false">IFERROR(_xlfn.MAXIFS(Data!$L$2:$L$500,Data!$B$2:$B$500,1),"")</f>
        <v>8</v>
      </c>
      <c r="G2" s="0" t="str">
        <f aca="false">IFERROR(TEXT(INDEX(Data!$A$2:$A$500,MATCH(_xlfn.MAXIFS(Data!$L$2:$L$500,Data!$B$2:$B$500,1),Data!$L$2:$L$500,0)),"d-mmm"),"")</f>
        <v>13-Jun</v>
      </c>
      <c r="H2" s="5" t="n">
        <f aca="false">IFERROR(_xlfn.MINIFS(Data!$L$2:$L$500,Data!$B$2:$B$500,1),"")</f>
        <v>5</v>
      </c>
      <c r="I2" s="0" t="str">
        <f aca="false">IFERROR(TEXT(INDEX(Data!$A$2:$A$500,MATCH(_xlfn.MINIFS(Data!$L$2:$L$500,Data!$B$2:$B$500,1),Data!$L$2:$L$500,0)),"d-mmm"),"")</f>
        <v>11-Jun</v>
      </c>
      <c r="J2" s="0" t="n">
        <f aca="false">COUNTIFS(Data!$L$2:$L$500,"&gt;=5.5",Data!$B$2:$B$500,1)</f>
        <v>4</v>
      </c>
      <c r="K2" s="0" t="n">
        <f aca="false">COUNTIFS(Data!$B$2:$B$500,1)</f>
        <v>7</v>
      </c>
      <c r="L2" s="6" t="n">
        <f aca="false">IFERROR(AVERAGEIFS(Data!$C$2:$C$500,Data!$B$2:$B$500,1),"–")</f>
        <v>1364.28571428571</v>
      </c>
      <c r="M2" s="7" t="n">
        <f aca="false">IFERROR(AVERAGEIFS(Data!$F$2:$F$500,Data!$B$2:$B$500,1),"–")</f>
        <v>40.7142857142857</v>
      </c>
      <c r="N2" s="7" t="n">
        <f aca="false">IFERROR(AVERAGEIFS(Data!$G$2:$G$500,Data!$B$2:$B$500,1),"–")</f>
        <v>197.142857142857</v>
      </c>
      <c r="O2" s="7" t="n">
        <f aca="false">IFERROR(AVERAGEIFS(Data!$H$2:$H$500,Data!$B$2:$B$500,1),"–")</f>
        <v>34.4285714285714</v>
      </c>
      <c r="P2" s="7" t="n">
        <f aca="false">IFERROR(AVERAGEIFS(Data!$I$2:$I$500,Data!$B$2:$B$500,1),"–")</f>
        <v>19.8571428571429</v>
      </c>
      <c r="Q2" s="6" t="n">
        <f aca="false">IFERROR(AVERAGEIFS(Data!$K$2:$K$500,Data!$B$2:$B$500,1),"–")</f>
        <v>3775.57142857143</v>
      </c>
      <c r="R2" s="6" t="n">
        <f aca="false">IFERROR(_xlfn.MAXIFS(Data!$K$2:$K$500,Data!$B$2:$B$500,1),"")</f>
        <v>4500</v>
      </c>
      <c r="S2" s="0" t="str">
        <f aca="false">IFERROR(TEXT(INDEX(Data!$A$2:$A$500,MATCH(_xlfn.MAXIFS(Data!$K$2:$K$500,Data!$B$2:$B$500,1),Data!$K$2:$K$500,0)),"d-mmm"),"")</f>
        <v>15-Jun</v>
      </c>
      <c r="T2" s="6" t="n">
        <f aca="false">IFERROR(_xlfn.MINIFS(Data!$K$2:$K$500,Data!$B$2:$B$500,1),"")</f>
        <v>3000</v>
      </c>
      <c r="U2" s="0" t="str">
        <f aca="false">IFERROR(TEXT(INDEX(Data!$A$2:$A$500,MATCH(_xlfn.MINIFS(Data!$K$2:$K$500,Data!$B$2:$B$500,1),Data!$K$2:$K$500,0)),"d-mmm"),"")</f>
        <v>13-Jun</v>
      </c>
      <c r="V2" s="4" t="n">
        <f aca="false">COUNTIFS(Data!$K$2:$K$500,"&gt;=7000",Data!$B$2:$B$500,1)</f>
        <v>0</v>
      </c>
      <c r="W2" s="4" t="n">
        <f aca="false">COUNTIFS(Data!$B$2:$B$500,1)</f>
        <v>7</v>
      </c>
      <c r="X2" s="4" t="n">
        <f aca="false">COUNTIFS(Data!$O$2:$O$500,"Y",Data!$B$2:$B$500,1)</f>
        <v>0</v>
      </c>
    </row>
    <row r="3" customFormat="false" ht="15" hidden="false" customHeight="false" outlineLevel="0" collapsed="false">
      <c r="A3" s="0" t="n">
        <v>2</v>
      </c>
      <c r="B3" s="0" t="str">
        <f aca="false">IFERROR(TEXT(_xlfn.MINIFS(Data!$A$2:$A$500,Data!$B$2:$B$500,2),"d mmm"),"")</f>
        <v>17 Jun</v>
      </c>
      <c r="C3" s="0" t="str">
        <f aca="false">IFERROR(TEXT(_xlfn.MAXIFS(Data!$A$2:$A$500,Data!$B$2:$B$500,2),"d mmm"),"")</f>
        <v>23 Jun</v>
      </c>
      <c r="D3" s="0" t="n">
        <f aca="false">COUNTIFS(Data!$B$2:$B$500,2)</f>
        <v>7</v>
      </c>
      <c r="E3" s="5" t="n">
        <f aca="false">IFERROR(AVERAGEIFS(Data!$L$2:$L$500,Data!$B$2:$B$500,2),"–")</f>
        <v>5.42857142857143</v>
      </c>
      <c r="F3" s="5" t="n">
        <f aca="false">IFERROR(_xlfn.MAXIFS(Data!$L$2:$L$500,Data!$B$2:$B$500,2),"")</f>
        <v>6</v>
      </c>
      <c r="G3" s="0" t="str">
        <f aca="false">IFERROR(TEXT(INDEX(Data!$A$2:$A$500,MATCH(_xlfn.MAXIFS(Data!$L$2:$L$500,Data!$B$2:$B$500,2),Data!$L$2:$L$500,0)),"d-mmm"),"")</f>
        <v>10-Jun</v>
      </c>
      <c r="H3" s="5" t="n">
        <f aca="false">IFERROR(_xlfn.MINIFS(Data!$L$2:$L$500,Data!$B$2:$B$500,2),"")</f>
        <v>5</v>
      </c>
      <c r="I3" s="0" t="str">
        <f aca="false">IFERROR(TEXT(INDEX(Data!$A$2:$A$500,MATCH(_xlfn.MINIFS(Data!$L$2:$L$500,Data!$B$2:$B$500,2),Data!$L$2:$L$500,0)),"d-mmm"),"")</f>
        <v>11-Jun</v>
      </c>
      <c r="J3" s="0" t="n">
        <f aca="false">COUNTIFS(Data!$L$2:$L$500,"&gt;=5.5",Data!$B$2:$B$500,2)</f>
        <v>3</v>
      </c>
      <c r="K3" s="0" t="n">
        <f aca="false">COUNTIFS(Data!$B$2:$B$500,2)</f>
        <v>7</v>
      </c>
      <c r="L3" s="6" t="n">
        <f aca="false">IFERROR(AVERAGEIFS(Data!$C$2:$C$500,Data!$B$2:$B$500,2),"–")</f>
        <v>1250</v>
      </c>
      <c r="M3" s="7" t="n">
        <f aca="false">IFERROR(AVERAGEIFS(Data!$F$2:$F$500,Data!$B$2:$B$500,2),"–")</f>
        <v>34.1428571428571</v>
      </c>
      <c r="N3" s="7" t="n">
        <f aca="false">IFERROR(AVERAGEIFS(Data!$G$2:$G$500,Data!$B$2:$B$500,2),"–")</f>
        <v>184.285714285714</v>
      </c>
      <c r="O3" s="7" t="n">
        <f aca="false">IFERROR(AVERAGEIFS(Data!$H$2:$H$500,Data!$B$2:$B$500,2),"–")</f>
        <v>26</v>
      </c>
      <c r="P3" s="7" t="n">
        <f aca="false">IFERROR(AVERAGEIFS(Data!$I$2:$I$500,Data!$B$2:$B$500,2),"–")</f>
        <v>19.4285714285714</v>
      </c>
      <c r="Q3" s="6" t="n">
        <f aca="false">IFERROR(AVERAGEIFS(Data!$K$2:$K$500,Data!$B$2:$B$500,2),"–")</f>
        <v>4347</v>
      </c>
      <c r="R3" s="6" t="n">
        <f aca="false">IFERROR(_xlfn.MAXIFS(Data!$K$2:$K$500,Data!$B$2:$B$500,2),"")</f>
        <v>6957</v>
      </c>
      <c r="S3" s="0" t="str">
        <f aca="false">IFERROR(TEXT(INDEX(Data!$A$2:$A$500,MATCH(_xlfn.MAXIFS(Data!$K$2:$K$500,Data!$B$2:$B$500,2),Data!$K$2:$K$500,0)),"d-mmm"),"")</f>
        <v>23-Jun</v>
      </c>
      <c r="T3" s="6" t="n">
        <f aca="false">IFERROR(_xlfn.MINIFS(Data!$K$2:$K$500,Data!$B$2:$B$500,2),"")</f>
        <v>3037</v>
      </c>
      <c r="U3" s="0" t="str">
        <f aca="false">IFERROR(TEXT(INDEX(Data!$A$2:$A$500,MATCH(_xlfn.MINIFS(Data!$K$2:$K$500,Data!$B$2:$B$500,2),Data!$K$2:$K$500,0)),"d-mmm"),"")</f>
        <v>19-Jun</v>
      </c>
      <c r="V3" s="4" t="n">
        <f aca="false">COUNTIFS(Data!$K$2:$K$500,"&gt;=7000",Data!$B$2:$B$500,2)</f>
        <v>0</v>
      </c>
      <c r="W3" s="4" t="n">
        <f aca="false">COUNTIFS(Data!$B$2:$B$500,2)</f>
        <v>7</v>
      </c>
      <c r="X3" s="4" t="n">
        <f aca="false">COUNTIFS(Data!$O$2:$O$500,"Y",Data!$B$2:$B$500,2)</f>
        <v>0</v>
      </c>
    </row>
    <row r="4" customFormat="false" ht="15" hidden="false" customHeight="false" outlineLevel="0" collapsed="false">
      <c r="A4" s="0" t="n">
        <v>3</v>
      </c>
      <c r="B4" s="0" t="str">
        <f aca="false">IFERROR(TEXT(_xlfn.MINIFS(Data!$A$2:$A$500,Data!$B$2:$B$500,3),"d mmm"),"")</f>
        <v>24 Jun</v>
      </c>
      <c r="C4" s="0" t="str">
        <f aca="false">IFERROR(TEXT(_xlfn.MAXIFS(Data!$A$2:$A$500,Data!$B$2:$B$500,3),"d mmm"),"")</f>
        <v>28 Jun</v>
      </c>
      <c r="D4" s="0" t="n">
        <f aca="false">COUNTIFS(Data!$B$2:$B$500,3)</f>
        <v>5</v>
      </c>
      <c r="E4" s="5" t="n">
        <f aca="false">IFERROR(AVERAGEIFS(Data!$L$2:$L$500,Data!$B$2:$B$500,3),"–")</f>
        <v>5.6</v>
      </c>
      <c r="F4" s="5" t="n">
        <f aca="false">IFERROR(_xlfn.MAXIFS(Data!$L$2:$L$500,Data!$B$2:$B$500,3),"")</f>
        <v>7</v>
      </c>
      <c r="G4" s="0" t="str">
        <f aca="false">IFERROR(TEXT(INDEX(Data!$A$2:$A$500,MATCH(_xlfn.MAXIFS(Data!$L$2:$L$500,Data!$B$2:$B$500,3),Data!$L$2:$L$500,0)),"d-mmm"),"")</f>
        <v>12-Jun</v>
      </c>
      <c r="H4" s="5" t="n">
        <f aca="false">IFERROR(_xlfn.MINIFS(Data!$L$2:$L$500,Data!$B$2:$B$500,3),"")</f>
        <v>5</v>
      </c>
      <c r="I4" s="0" t="str">
        <f aca="false">IFERROR(TEXT(INDEX(Data!$A$2:$A$500,MATCH(_xlfn.MINIFS(Data!$L$2:$L$500,Data!$B$2:$B$500,3),Data!$L$2:$L$500,0)),"d-mmm"),"")</f>
        <v>11-Jun</v>
      </c>
      <c r="J4" s="0" t="n">
        <f aca="false">COUNTIFS(Data!$L$2:$L$500,"&gt;=5.5",Data!$B$2:$B$500,3)</f>
        <v>2</v>
      </c>
      <c r="K4" s="0" t="n">
        <f aca="false">COUNTIFS(Data!$B$2:$B$500,3)</f>
        <v>5</v>
      </c>
      <c r="L4" s="6" t="n">
        <f aca="false">IFERROR(AVERAGEIFS(Data!$C$2:$C$500,Data!$B$2:$B$500,3),"–")</f>
        <v>1430</v>
      </c>
      <c r="M4" s="7" t="n">
        <f aca="false">IFERROR(AVERAGEIFS(Data!$F$2:$F$500,Data!$B$2:$B$500,3),"–")</f>
        <v>55</v>
      </c>
      <c r="N4" s="7" t="n">
        <f aca="false">IFERROR(AVERAGEIFS(Data!$G$2:$G$500,Data!$B$2:$B$500,3),"–")</f>
        <v>174</v>
      </c>
      <c r="O4" s="7" t="n">
        <f aca="false">IFERROR(AVERAGEIFS(Data!$H$2:$H$500,Data!$B$2:$B$500,3),"–")</f>
        <v>38.6</v>
      </c>
      <c r="P4" s="7" t="n">
        <f aca="false">IFERROR(AVERAGEIFS(Data!$I$2:$I$500,Data!$B$2:$B$500,3),"–")</f>
        <v>23.2</v>
      </c>
      <c r="Q4" s="6" t="n">
        <f aca="false">IFERROR(AVERAGEIFS(Data!$K$2:$K$500,Data!$B$2:$B$500,3),"–")</f>
        <v>6308.8</v>
      </c>
      <c r="R4" s="6" t="n">
        <f aca="false">IFERROR(_xlfn.MAXIFS(Data!$K$2:$K$500,Data!$B$2:$B$500,3),"")</f>
        <v>10123</v>
      </c>
      <c r="S4" s="0" t="str">
        <f aca="false">IFERROR(TEXT(INDEX(Data!$A$2:$A$500,MATCH(_xlfn.MAXIFS(Data!$K$2:$K$500,Data!$B$2:$B$500,3),Data!$K$2:$K$500,0)),"d-mmm"),"")</f>
        <v>25-Jun</v>
      </c>
      <c r="T4" s="6" t="n">
        <f aca="false">IFERROR(_xlfn.MINIFS(Data!$K$2:$K$500,Data!$B$2:$B$500,3),"")</f>
        <v>3256</v>
      </c>
      <c r="U4" s="0" t="str">
        <f aca="false">IFERROR(TEXT(INDEX(Data!$A$2:$A$500,MATCH(_xlfn.MINIFS(Data!$K$2:$K$500,Data!$B$2:$B$500,3),Data!$K$2:$K$500,0)),"d-mmm"),"")</f>
        <v>26-Jun</v>
      </c>
      <c r="V4" s="4" t="n">
        <f aca="false">COUNTIFS(Data!$K$2:$K$500,"&gt;=7000",Data!$B$2:$B$500,3)</f>
        <v>1</v>
      </c>
      <c r="W4" s="4" t="n">
        <f aca="false">COUNTIFS(Data!$B$2:$B$500,3)</f>
        <v>5</v>
      </c>
      <c r="X4" s="4" t="n">
        <f aca="false">COUNTIFS(Data!$O$2:$O$500,"Y",Data!$B$2:$B$500,3)</f>
        <v>0</v>
      </c>
    </row>
    <row r="5" customFormat="false" ht="15" hidden="false" customHeight="false" outlineLevel="0" collapsed="false">
      <c r="A5" s="0" t="n">
        <v>4</v>
      </c>
      <c r="B5" s="0" t="str">
        <f aca="false">IFERROR(TEXT(_xlfn.MINIFS(Data!$A$2:$A$500,Data!$B$2:$B$500,4),"d mmm"),"")</f>
        <v>30 Dec</v>
      </c>
      <c r="C5" s="0" t="str">
        <f aca="false">IFERROR(TEXT(_xlfn.MAXIFS(Data!$A$2:$A$500,Data!$B$2:$B$500,4),"d mmm"),"")</f>
        <v>30 Dec</v>
      </c>
      <c r="D5" s="0" t="n">
        <f aca="false">COUNTIFS(Data!$B$2:$B$500,4)</f>
        <v>0</v>
      </c>
      <c r="E5" s="5" t="str">
        <f aca="false">IFERROR(AVERAGEIFS(Data!$L$2:$L$500,Data!$B$2:$B$500,4),"–")</f>
        <v>–</v>
      </c>
      <c r="F5" s="5" t="n">
        <f aca="false">IFERROR(_xlfn.MAXIFS(Data!$L$2:$L$500,Data!$B$2:$B$500,4),"")</f>
        <v>0</v>
      </c>
      <c r="G5" s="0" t="str">
        <f aca="false">IFERROR(TEXT(INDEX(Data!$A$2:$A$500,MATCH(_xlfn.MAXIFS(Data!$L$2:$L$500,Data!$B$2:$B$500,4),Data!$L$2:$L$500,0)),"d-mmm"),"")</f>
        <v/>
      </c>
      <c r="H5" s="5" t="n">
        <f aca="false">IFERROR(_xlfn.MINIFS(Data!$L$2:$L$500,Data!$B$2:$B$500,4),"")</f>
        <v>0</v>
      </c>
      <c r="I5" s="0" t="str">
        <f aca="false">IFERROR(TEXT(INDEX(Data!$A$2:$A$500,MATCH(_xlfn.MINIFS(Data!$L$2:$L$500,Data!$B$2:$B$500,4),Data!$L$2:$L$500,0)),"d-mmm"),"")</f>
        <v/>
      </c>
      <c r="J5" s="0" t="n">
        <f aca="false">COUNTIFS(Data!$L$2:$L$500,"&gt;=5.5",Data!$B$2:$B$500,4)</f>
        <v>0</v>
      </c>
      <c r="K5" s="0" t="n">
        <f aca="false">COUNTIFS(Data!$B$2:$B$500,4)</f>
        <v>0</v>
      </c>
      <c r="L5" s="6" t="str">
        <f aca="false">IFERROR(AVERAGEIFS(Data!$C$2:$C$500,Data!$B$2:$B$500,4),"–")</f>
        <v>–</v>
      </c>
      <c r="M5" s="7" t="str">
        <f aca="false">IFERROR(AVERAGEIFS(Data!$F$2:$F$500,Data!$B$2:$B$500,4),"–")</f>
        <v>–</v>
      </c>
      <c r="N5" s="7" t="str">
        <f aca="false">IFERROR(AVERAGEIFS(Data!$G$2:$G$500,Data!$B$2:$B$500,4),"–")</f>
        <v>–</v>
      </c>
      <c r="O5" s="7" t="str">
        <f aca="false">IFERROR(AVERAGEIFS(Data!$H$2:$H$500,Data!$B$2:$B$500,4),"–")</f>
        <v>–</v>
      </c>
      <c r="P5" s="7" t="str">
        <f aca="false">IFERROR(AVERAGEIFS(Data!$I$2:$I$500,Data!$B$2:$B$500,4),"–")</f>
        <v>–</v>
      </c>
      <c r="Q5" s="6" t="str">
        <f aca="false">IFERROR(AVERAGEIFS(Data!$K$2:$K$500,Data!$B$2:$B$500,4),"–")</f>
        <v>–</v>
      </c>
      <c r="R5" s="6" t="n">
        <f aca="false">IFERROR(_xlfn.MAXIFS(Data!$K$2:$K$500,Data!$B$2:$B$500,4),"")</f>
        <v>0</v>
      </c>
      <c r="S5" s="0" t="str">
        <f aca="false">IFERROR(TEXT(INDEX(Data!$A$2:$A$500,MATCH(_xlfn.MAXIFS(Data!$K$2:$K$500,Data!$B$2:$B$500,4),Data!$K$2:$K$500,0)),"d-mmm"),"")</f>
        <v/>
      </c>
      <c r="T5" s="6" t="n">
        <f aca="false">IFERROR(_xlfn.MINIFS(Data!$K$2:$K$500,Data!$B$2:$B$500,4),"")</f>
        <v>0</v>
      </c>
      <c r="U5" s="0" t="str">
        <f aca="false">IFERROR(TEXT(INDEX(Data!$A$2:$A$500,MATCH(_xlfn.MINIFS(Data!$K$2:$K$500,Data!$B$2:$B$500,4),Data!$K$2:$K$500,0)),"d-mmm"),"")</f>
        <v/>
      </c>
      <c r="V5" s="4" t="n">
        <f aca="false">COUNTIFS(Data!$K$2:$K$500,"&gt;=7000",Data!$B$2:$B$500,4)</f>
        <v>0</v>
      </c>
      <c r="W5" s="4" t="n">
        <f aca="false">COUNTIFS(Data!$B$2:$B$500,4)</f>
        <v>0</v>
      </c>
      <c r="X5" s="4" t="n">
        <f aca="false">COUNTIFS(Data!$O$2:$O$500,"Y",Data!$B$2:$B$500,4)</f>
        <v>0</v>
      </c>
    </row>
    <row r="6" customFormat="false" ht="15" hidden="false" customHeight="false" outlineLevel="0" collapsed="false">
      <c r="A6" s="0" t="n">
        <v>5</v>
      </c>
      <c r="B6" s="0" t="str">
        <f aca="false">IFERROR(TEXT(_xlfn.MINIFS(Data!$A$2:$A$500,Data!$B$2:$B$500,5),"d mmm"),"")</f>
        <v>30 Dec</v>
      </c>
      <c r="C6" s="0" t="str">
        <f aca="false">IFERROR(TEXT(_xlfn.MAXIFS(Data!$A$2:$A$500,Data!$B$2:$B$500,5),"d mmm"),"")</f>
        <v>30 Dec</v>
      </c>
      <c r="D6" s="0" t="n">
        <f aca="false">COUNTIFS(Data!$B$2:$B$500,5)</f>
        <v>0</v>
      </c>
      <c r="E6" s="5" t="str">
        <f aca="false">IFERROR(AVERAGEIFS(Data!$L$2:$L$500,Data!$B$2:$B$500,5),"–")</f>
        <v>–</v>
      </c>
      <c r="F6" s="5" t="n">
        <f aca="false">IFERROR(_xlfn.MAXIFS(Data!$L$2:$L$500,Data!$B$2:$B$500,5),"")</f>
        <v>0</v>
      </c>
      <c r="G6" s="0" t="str">
        <f aca="false">IFERROR(TEXT(INDEX(Data!$A$2:$A$500,MATCH(_xlfn.MAXIFS(Data!$L$2:$L$500,Data!$B$2:$B$500,5),Data!$L$2:$L$500,0)),"d-mmm"),"")</f>
        <v/>
      </c>
      <c r="H6" s="5" t="n">
        <f aca="false">IFERROR(_xlfn.MINIFS(Data!$L$2:$L$500,Data!$B$2:$B$500,5),"")</f>
        <v>0</v>
      </c>
      <c r="I6" s="0" t="str">
        <f aca="false">IFERROR(TEXT(INDEX(Data!$A$2:$A$500,MATCH(_xlfn.MINIFS(Data!$L$2:$L$500,Data!$B$2:$B$500,5),Data!$L$2:$L$500,0)),"d-mmm"),"")</f>
        <v/>
      </c>
      <c r="J6" s="0" t="n">
        <f aca="false">COUNTIFS(Data!$L$2:$L$500,"&gt;=5.5",Data!$B$2:$B$500,5)</f>
        <v>0</v>
      </c>
      <c r="K6" s="0" t="n">
        <f aca="false">COUNTIFS(Data!$B$2:$B$500,5)</f>
        <v>0</v>
      </c>
      <c r="L6" s="6" t="str">
        <f aca="false">IFERROR(AVERAGEIFS(Data!$C$2:$C$500,Data!$B$2:$B$500,5),"–")</f>
        <v>–</v>
      </c>
      <c r="M6" s="7" t="str">
        <f aca="false">IFERROR(AVERAGEIFS(Data!$F$2:$F$500,Data!$B$2:$B$500,5),"–")</f>
        <v>–</v>
      </c>
      <c r="N6" s="7" t="str">
        <f aca="false">IFERROR(AVERAGEIFS(Data!$G$2:$G$500,Data!$B$2:$B$500,5),"–")</f>
        <v>–</v>
      </c>
      <c r="O6" s="7" t="str">
        <f aca="false">IFERROR(AVERAGEIFS(Data!$H$2:$H$500,Data!$B$2:$B$500,5),"–")</f>
        <v>–</v>
      </c>
      <c r="P6" s="7" t="str">
        <f aca="false">IFERROR(AVERAGEIFS(Data!$I$2:$I$500,Data!$B$2:$B$500,5),"–")</f>
        <v>–</v>
      </c>
      <c r="Q6" s="6" t="str">
        <f aca="false">IFERROR(AVERAGEIFS(Data!$K$2:$K$500,Data!$B$2:$B$500,5),"–")</f>
        <v>–</v>
      </c>
      <c r="R6" s="6" t="n">
        <f aca="false">IFERROR(_xlfn.MAXIFS(Data!$K$2:$K$500,Data!$B$2:$B$500,5),"")</f>
        <v>0</v>
      </c>
      <c r="S6" s="0" t="str">
        <f aca="false">IFERROR(TEXT(INDEX(Data!$A$2:$A$500,MATCH(_xlfn.MAXIFS(Data!$K$2:$K$500,Data!$B$2:$B$500,5),Data!$K$2:$K$500,0)),"d-mmm"),"")</f>
        <v/>
      </c>
      <c r="T6" s="6" t="n">
        <f aca="false">IFERROR(_xlfn.MINIFS(Data!$K$2:$K$500,Data!$B$2:$B$500,5),"")</f>
        <v>0</v>
      </c>
      <c r="U6" s="0" t="str">
        <f aca="false">IFERROR(TEXT(INDEX(Data!$A$2:$A$500,MATCH(_xlfn.MINIFS(Data!$K$2:$K$500,Data!$B$2:$B$500,5),Data!$K$2:$K$500,0)),"d-mmm"),"")</f>
        <v/>
      </c>
      <c r="V6" s="4" t="n">
        <f aca="false">COUNTIFS(Data!$K$2:$K$500,"&gt;=7000",Data!$B$2:$B$500,5)</f>
        <v>0</v>
      </c>
      <c r="W6" s="4" t="n">
        <f aca="false">COUNTIFS(Data!$B$2:$B$500,5)</f>
        <v>0</v>
      </c>
      <c r="X6" s="4" t="n">
        <f aca="false">COUNTIFS(Data!$O$2:$O$500,"Y",Data!$B$2:$B$500,5)</f>
        <v>0</v>
      </c>
    </row>
    <row r="7" customFormat="false" ht="15" hidden="false" customHeight="false" outlineLevel="0" collapsed="false">
      <c r="A7" s="0" t="n">
        <v>6</v>
      </c>
      <c r="B7" s="0" t="str">
        <f aca="false">IFERROR(TEXT(_xlfn.MINIFS(Data!$A$2:$A$500,Data!$B$2:$B$500,6),"d mmm"),"")</f>
        <v>30 Dec</v>
      </c>
      <c r="C7" s="0" t="str">
        <f aca="false">IFERROR(TEXT(_xlfn.MAXIFS(Data!$A$2:$A$500,Data!$B$2:$B$500,6),"d mmm"),"")</f>
        <v>30 Dec</v>
      </c>
      <c r="D7" s="0" t="n">
        <f aca="false">COUNTIFS(Data!$B$2:$B$500,6)</f>
        <v>0</v>
      </c>
      <c r="E7" s="5" t="str">
        <f aca="false">IFERROR(AVERAGEIFS(Data!$L$2:$L$500,Data!$B$2:$B$500,6),"–")</f>
        <v>–</v>
      </c>
      <c r="F7" s="5" t="n">
        <f aca="false">IFERROR(_xlfn.MAXIFS(Data!$L$2:$L$500,Data!$B$2:$B$500,6),"")</f>
        <v>0</v>
      </c>
      <c r="G7" s="0" t="str">
        <f aca="false">IFERROR(TEXT(INDEX(Data!$A$2:$A$500,MATCH(_xlfn.MAXIFS(Data!$L$2:$L$500,Data!$B$2:$B$500,6),Data!$L$2:$L$500,0)),"d-mmm"),"")</f>
        <v/>
      </c>
      <c r="H7" s="5" t="n">
        <f aca="false">IFERROR(_xlfn.MINIFS(Data!$L$2:$L$500,Data!$B$2:$B$500,6),"")</f>
        <v>0</v>
      </c>
      <c r="I7" s="0" t="str">
        <f aca="false">IFERROR(TEXT(INDEX(Data!$A$2:$A$500,MATCH(_xlfn.MINIFS(Data!$L$2:$L$500,Data!$B$2:$B$500,6),Data!$L$2:$L$500,0)),"d-mmm"),"")</f>
        <v/>
      </c>
      <c r="J7" s="0" t="n">
        <f aca="false">COUNTIFS(Data!$L$2:$L$500,"&gt;=5.5",Data!$B$2:$B$500,6)</f>
        <v>0</v>
      </c>
      <c r="K7" s="0" t="n">
        <f aca="false">COUNTIFS(Data!$B$2:$B$500,6)</f>
        <v>0</v>
      </c>
      <c r="L7" s="6" t="str">
        <f aca="false">IFERROR(AVERAGEIFS(Data!$C$2:$C$500,Data!$B$2:$B$500,6),"–")</f>
        <v>–</v>
      </c>
      <c r="M7" s="7" t="str">
        <f aca="false">IFERROR(AVERAGEIFS(Data!$F$2:$F$500,Data!$B$2:$B$500,6),"–")</f>
        <v>–</v>
      </c>
      <c r="N7" s="7" t="str">
        <f aca="false">IFERROR(AVERAGEIFS(Data!$G$2:$G$500,Data!$B$2:$B$500,6),"–")</f>
        <v>–</v>
      </c>
      <c r="O7" s="7" t="str">
        <f aca="false">IFERROR(AVERAGEIFS(Data!$H$2:$H$500,Data!$B$2:$B$500,6),"–")</f>
        <v>–</v>
      </c>
      <c r="P7" s="7" t="str">
        <f aca="false">IFERROR(AVERAGEIFS(Data!$I$2:$I$500,Data!$B$2:$B$500,6),"–")</f>
        <v>–</v>
      </c>
      <c r="Q7" s="6" t="str">
        <f aca="false">IFERROR(AVERAGEIFS(Data!$K$2:$K$500,Data!$B$2:$B$500,6),"–")</f>
        <v>–</v>
      </c>
      <c r="R7" s="6" t="n">
        <f aca="false">IFERROR(_xlfn.MAXIFS(Data!$K$2:$K$500,Data!$B$2:$B$500,6),"")</f>
        <v>0</v>
      </c>
      <c r="S7" s="0" t="str">
        <f aca="false">IFERROR(TEXT(INDEX(Data!$A$2:$A$500,MATCH(_xlfn.MAXIFS(Data!$K$2:$K$500,Data!$B$2:$B$500,6),Data!$K$2:$K$500,0)),"d-mmm"),"")</f>
        <v/>
      </c>
      <c r="T7" s="6" t="n">
        <f aca="false">IFERROR(_xlfn.MINIFS(Data!$K$2:$K$500,Data!$B$2:$B$500,6),"")</f>
        <v>0</v>
      </c>
      <c r="U7" s="0" t="str">
        <f aca="false">IFERROR(TEXT(INDEX(Data!$A$2:$A$500,MATCH(_xlfn.MINIFS(Data!$K$2:$K$500,Data!$B$2:$B$500,6),Data!$K$2:$K$500,0)),"d-mmm"),"")</f>
        <v/>
      </c>
      <c r="V7" s="4" t="n">
        <f aca="false">COUNTIFS(Data!$K$2:$K$500,"&gt;=7000",Data!$B$2:$B$500,6)</f>
        <v>0</v>
      </c>
      <c r="W7" s="4" t="n">
        <f aca="false">COUNTIFS(Data!$B$2:$B$500,6)</f>
        <v>0</v>
      </c>
      <c r="X7" s="4" t="n">
        <f aca="false">COUNTIFS(Data!$O$2:$O$500,"Y",Data!$B$2:$B$500,6)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false"/>
  </sheetPr>
  <dimension ref="A1:S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
    <col collapsed="false" customWidth="true" hidden="false" outlineLevel="0" max="2" min="2" style="0" width="14"/>
    <col collapsed="false" customWidth="true" hidden="false" outlineLevel="0" max="5" min="3" style="0" width="12"/>
    <col collapsed="false" customWidth="true" hidden="false" outlineLevel="0" max="6" min="6" style="0" width="11"/>
    <col collapsed="false" customWidth="true" hidden="false" outlineLevel="0" max="7" min="7" style="0" width="2"/>
    <col collapsed="false" customWidth="true" hidden="false" outlineLevel="0" max="8" min="8" style="0" width="14"/>
    <col collapsed="false" customWidth="true" hidden="false" outlineLevel="0" max="11" min="9" style="0" width="12"/>
    <col collapsed="false" customWidth="true" hidden="false" outlineLevel="0" max="12" min="12" style="0" width="11"/>
    <col collapsed="false" customWidth="true" hidden="false" outlineLevel="0" max="13" min="13" style="0" width="2"/>
    <col collapsed="false" customWidth="true" hidden="false" outlineLevel="0" max="14" min="14" style="0" width="14"/>
    <col collapsed="false" customWidth="true" hidden="false" outlineLevel="0" max="17" min="15" style="0" width="12"/>
    <col collapsed="false" customWidth="true" hidden="false" outlineLevel="0" max="18" min="18" style="0" width="11"/>
    <col collapsed="false" customWidth="true" hidden="false" outlineLevel="0" max="19" min="19" style="0" width="1"/>
  </cols>
  <sheetData>
    <row r="1" customFormat="false" ht="19.5" hidden="false" customHeight="true" outlineLevel="0" collapsed="false">
      <c r="A1" s="8"/>
      <c r="B1" s="9" t="s">
        <v>43</v>
      </c>
      <c r="C1" s="9"/>
      <c r="D1" s="9"/>
      <c r="E1" s="9"/>
      <c r="F1" s="9"/>
      <c r="G1" s="8"/>
      <c r="H1" s="10" t="str">
        <f aca="false">IFERROR(TEXT(_xlfn.MINIFS(Data!$A$2:$A$500,Data!$B$2:$B$500,1),"D MMM")&amp;" – "&amp;TEXT(MAX(Data!$A$2:$A$500),"D MMM YYYY")&amp;"  ("&amp;MAX(Data!$B$2:$B$500)&amp;" WEEKS)","Calculating...")</f>
        <v>10 Jun – 28 Jun 2026  (3 WEEKS)</v>
      </c>
      <c r="I1" s="10"/>
      <c r="J1" s="10"/>
      <c r="K1" s="10"/>
      <c r="L1" s="10"/>
      <c r="M1" s="10"/>
      <c r="N1" s="10"/>
      <c r="O1" s="10"/>
      <c r="P1" s="10"/>
      <c r="Q1" s="10"/>
      <c r="R1" s="10"/>
      <c r="S1" s="8"/>
    </row>
    <row r="2" customFormat="false" ht="13.5" hidden="false" customHeight="true" outlineLevel="0" collapsed="false">
      <c r="A2" s="8"/>
      <c r="B2" s="9"/>
      <c r="C2" s="9"/>
      <c r="D2" s="9"/>
      <c r="E2" s="9"/>
      <c r="F2" s="9"/>
      <c r="G2" s="8"/>
      <c r="H2" s="10"/>
      <c r="I2" s="10"/>
      <c r="J2" s="10"/>
      <c r="K2" s="10"/>
      <c r="L2" s="10"/>
      <c r="M2" s="10"/>
      <c r="N2" s="10"/>
      <c r="O2" s="10"/>
      <c r="P2" s="10"/>
      <c r="Q2" s="10"/>
      <c r="R2" s="10"/>
      <c r="S2" s="8"/>
    </row>
    <row r="3" customFormat="false" ht="24" hidden="false" customHeight="true" outlineLevel="0" collapsed="false">
      <c r="A3" s="11"/>
      <c r="B3" s="12" t="s">
        <v>44</v>
      </c>
      <c r="C3" s="12"/>
      <c r="D3" s="12"/>
      <c r="E3" s="12"/>
      <c r="F3" s="12"/>
      <c r="G3" s="11"/>
      <c r="H3" s="13" t="s">
        <v>45</v>
      </c>
      <c r="I3" s="13"/>
      <c r="J3" s="13"/>
      <c r="K3" s="13"/>
      <c r="L3" s="13"/>
      <c r="M3" s="11"/>
      <c r="N3" s="14" t="s">
        <v>46</v>
      </c>
      <c r="O3" s="14"/>
      <c r="P3" s="14"/>
      <c r="Q3" s="14"/>
      <c r="R3" s="14"/>
      <c r="S3" s="11"/>
    </row>
    <row r="4" customFormat="false" ht="18" hidden="false" customHeight="true" outlineLevel="0" collapsed="false">
      <c r="B4" s="15"/>
      <c r="C4" s="16" t="str">
        <f aca="false">IF(COUNTIFS(Data!$B$2:$B$500,1)&gt;0,"WEEK 1","")</f>
        <v>WEEK 1</v>
      </c>
      <c r="D4" s="16" t="str">
        <f aca="false">IF(COUNTIFS(Data!$B$2:$B$500,2)&gt;0,"WEEK 2","")</f>
        <v>WEEK 2</v>
      </c>
      <c r="E4" s="16" t="str">
        <f aca="false">IF(COUNTIFS(Data!$B$2:$B$500,3)&gt;0,"WEEK 3","")</f>
        <v>WEEK 3</v>
      </c>
      <c r="F4" s="15"/>
      <c r="H4" s="17"/>
      <c r="I4" s="18" t="str">
        <f aca="false">IF(COUNTIFS(Data!$B$2:$B$500,1)&gt;0,"WEEK 1","")</f>
        <v>WEEK 1</v>
      </c>
      <c r="J4" s="18" t="str">
        <f aca="false">IF(COUNTIFS(Data!$B$2:$B$500,2)&gt;0,"WEEK 2","")</f>
        <v>WEEK 2</v>
      </c>
      <c r="K4" s="18" t="str">
        <f aca="false">IF(COUNTIFS(Data!$B$2:$B$500,3)&gt;0,"WEEK 3","")</f>
        <v>WEEK 3</v>
      </c>
      <c r="L4" s="17"/>
      <c r="N4" s="19"/>
      <c r="O4" s="20" t="str">
        <f aca="false">IF(COUNTIFS(Data!$B$2:$B$500,1)&gt;0,"WEEK 1","")</f>
        <v>WEEK 1</v>
      </c>
      <c r="P4" s="20" t="str">
        <f aca="false">IF(COUNTIFS(Data!$B$2:$B$500,2)&gt;0,"WEEK 2","")</f>
        <v>WEEK 2</v>
      </c>
      <c r="Q4" s="20" t="str">
        <f aca="false">IF(COUNTIFS(Data!$B$2:$B$500,3)&gt;0,"WEEK 3","")</f>
        <v>WEEK 3</v>
      </c>
      <c r="R4" s="19"/>
    </row>
    <row r="5" customFormat="false" ht="13.5" hidden="false" customHeight="true" outlineLevel="0" collapsed="false">
      <c r="B5" s="15"/>
      <c r="C5" s="21" t="str">
        <f aca="false">IF(Calc!D2&gt;0,"("&amp;Calc!B2&amp;" – "&amp;Calc!C2&amp;")","")</f>
        <v>(10 Jun – 16 Jun)</v>
      </c>
      <c r="D5" s="21" t="str">
        <f aca="false">IF(Calc!D3&gt;0,"("&amp;Calc!B3&amp;" – "&amp;Calc!C3&amp;")","")</f>
        <v>(17 Jun – 23 Jun)</v>
      </c>
      <c r="E5" s="21" t="str">
        <f aca="false">IF(Calc!D4&gt;0,"("&amp;Calc!B4&amp;" – "&amp;Calc!C4&amp;")","")</f>
        <v>(24 Jun – 28 Jun)</v>
      </c>
      <c r="F5" s="15"/>
      <c r="H5" s="17"/>
      <c r="I5" s="22" t="str">
        <f aca="false">IF(Calc!D2&gt;0,"("&amp;Calc!B2&amp;" – "&amp;Calc!C2&amp;")","")</f>
        <v>(10 Jun – 16 Jun)</v>
      </c>
      <c r="J5" s="22" t="str">
        <f aca="false">IF(Calc!D3&gt;0,"("&amp;Calc!B3&amp;" – "&amp;Calc!C3&amp;")","")</f>
        <v>(17 Jun – 23 Jun)</v>
      </c>
      <c r="K5" s="22" t="str">
        <f aca="false">IF(Calc!D4&gt;0,"("&amp;Calc!B4&amp;" – "&amp;Calc!C4&amp;")","")</f>
        <v>(24 Jun – 28 Jun)</v>
      </c>
      <c r="L5" s="17"/>
      <c r="N5" s="19"/>
      <c r="O5" s="23" t="str">
        <f aca="false">IF(Calc!D2&gt;0,"("&amp;Calc!B2&amp;" – "&amp;Calc!C2&amp;")","")</f>
        <v>(10 Jun – 16 Jun)</v>
      </c>
      <c r="P5" s="23" t="str">
        <f aca="false">IF(Calc!D3&gt;0,"("&amp;Calc!B3&amp;" – "&amp;Calc!C3&amp;")","")</f>
        <v>(17 Jun – 23 Jun)</v>
      </c>
      <c r="Q5" s="23" t="str">
        <f aca="false">IF(Calc!D4&gt;0,"("&amp;Calc!B4&amp;" – "&amp;Calc!C4&amp;")","")</f>
        <v>(24 Jun – 28 Jun)</v>
      </c>
      <c r="R5" s="19"/>
    </row>
    <row r="6" customFormat="false" ht="30" hidden="false" customHeight="true" outlineLevel="0" collapsed="false">
      <c r="B6" s="15"/>
      <c r="C6" s="24" t="s">
        <v>47</v>
      </c>
      <c r="D6" s="24" t="s">
        <v>47</v>
      </c>
      <c r="E6" s="24" t="s">
        <v>47</v>
      </c>
      <c r="F6" s="15"/>
      <c r="H6" s="17"/>
      <c r="I6" s="25" t="s">
        <v>48</v>
      </c>
      <c r="J6" s="25" t="s">
        <v>48</v>
      </c>
      <c r="K6" s="25" t="s">
        <v>48</v>
      </c>
      <c r="L6" s="17"/>
      <c r="N6" s="19"/>
      <c r="O6" s="26" t="s">
        <v>49</v>
      </c>
      <c r="P6" s="26" t="s">
        <v>49</v>
      </c>
      <c r="Q6" s="26" t="s">
        <v>49</v>
      </c>
      <c r="R6" s="19"/>
    </row>
    <row r="7" customFormat="false" ht="13.5" hidden="false" customHeight="true" outlineLevel="0" collapsed="false">
      <c r="B7" s="15"/>
      <c r="C7" s="27" t="n">
        <f aca="false">IFERROR(AVERAGEIFS(Data!$L$2:$L$500,Data!$B$2:$B$500,1),"–")</f>
        <v>5.92857142857143</v>
      </c>
      <c r="D7" s="27" t="n">
        <f aca="false">IFERROR(AVERAGEIFS(Data!$L$2:$L$500,Data!$B$2:$B$500,2),"–")</f>
        <v>5.42857142857143</v>
      </c>
      <c r="E7" s="27" t="n">
        <f aca="false">IFERROR(AVERAGEIFS(Data!$L$2:$L$500,Data!$B$2:$B$500,3),"–")</f>
        <v>5.6</v>
      </c>
      <c r="F7" s="15"/>
      <c r="H7" s="17"/>
      <c r="I7" s="28" t="n">
        <f aca="false">IFERROR(AVERAGEIFS(Data!$C$2:$C$500,Data!$B$2:$B$500,1),"–")</f>
        <v>1364.28571428571</v>
      </c>
      <c r="J7" s="28" t="n">
        <f aca="false">IFERROR(AVERAGEIFS(Data!$C$2:$C$500,Data!$B$2:$B$500,2),"–")</f>
        <v>1250</v>
      </c>
      <c r="K7" s="28" t="n">
        <f aca="false">IFERROR(AVERAGEIFS(Data!$C$2:$C$500,Data!$B$2:$B$500,3),"–")</f>
        <v>1430</v>
      </c>
      <c r="L7" s="17"/>
      <c r="N7" s="19"/>
      <c r="O7" s="29" t="n">
        <f aca="false">IFERROR(AVERAGEIFS(Data!$K$2:$K$500,Data!$B$2:$B$500,1),"–")</f>
        <v>3775.57142857143</v>
      </c>
      <c r="P7" s="29" t="n">
        <f aca="false">IFERROR(AVERAGEIFS(Data!$K$2:$K$500,Data!$B$2:$B$500,2),"–")</f>
        <v>4347</v>
      </c>
      <c r="Q7" s="29" t="n">
        <f aca="false">IFERROR(AVERAGEIFS(Data!$K$2:$K$500,Data!$B$2:$B$500,3),"–")</f>
        <v>6308.8</v>
      </c>
      <c r="R7" s="19"/>
    </row>
    <row r="8" customFormat="false" ht="6" hidden="false" customHeight="true" outlineLevel="0" collapsed="false">
      <c r="C8" s="30" t="s">
        <v>50</v>
      </c>
      <c r="D8" s="30" t="s">
        <v>50</v>
      </c>
      <c r="E8" s="30" t="s">
        <v>50</v>
      </c>
      <c r="I8" s="31" t="s">
        <v>51</v>
      </c>
      <c r="J8" s="31" t="s">
        <v>51</v>
      </c>
      <c r="K8" s="31" t="s">
        <v>51</v>
      </c>
      <c r="O8" s="32" t="s">
        <v>52</v>
      </c>
      <c r="P8" s="32" t="s">
        <v>52</v>
      </c>
      <c r="Q8" s="32" t="s">
        <v>52</v>
      </c>
    </row>
    <row r="9" customFormat="false" ht="19.5" hidden="false" customHeight="true" outlineLevel="0" collapsed="false">
      <c r="A9" s="33"/>
      <c r="B9" s="34" t="s">
        <v>53</v>
      </c>
      <c r="C9" s="34"/>
      <c r="D9" s="34"/>
      <c r="E9" s="34"/>
      <c r="F9" s="34"/>
      <c r="G9" s="33"/>
      <c r="H9" s="35" t="s">
        <v>54</v>
      </c>
      <c r="I9" s="35"/>
      <c r="J9" s="35"/>
      <c r="K9" s="35"/>
      <c r="L9" s="35"/>
      <c r="M9" s="33"/>
      <c r="N9" s="36" t="s">
        <v>55</v>
      </c>
      <c r="O9" s="36"/>
      <c r="P9" s="36"/>
      <c r="Q9" s="36"/>
      <c r="R9" s="36"/>
      <c r="S9" s="33"/>
    </row>
    <row r="10" customFormat="false" ht="18" hidden="false" customHeight="true" outlineLevel="0" collapsed="false"/>
    <row r="11" customFormat="false" ht="18" hidden="false" customHeight="true" outlineLevel="0" collapsed="false"/>
    <row r="12" customFormat="false" ht="18" hidden="false" customHeight="true" outlineLevel="0" collapsed="false"/>
    <row r="13" customFormat="false" ht="18" hidden="false" customHeight="true" outlineLevel="0" collapsed="false"/>
    <row r="14" customFormat="false" ht="18" hidden="false" customHeight="true" outlineLevel="0" collapsed="false"/>
    <row r="15" customFormat="false" ht="18" hidden="false" customHeight="true" outlineLevel="0" collapsed="false"/>
    <row r="16" customFormat="false" ht="18" hidden="false" customHeight="true" outlineLevel="0" collapsed="false"/>
    <row r="17" customFormat="false" ht="18" hidden="false" customHeight="true" outlineLevel="0" collapsed="false"/>
    <row r="18" customFormat="false" ht="18" hidden="false" customHeight="true" outlineLevel="0" collapsed="false"/>
    <row r="19" customFormat="false" ht="18" hidden="false" customHeight="true" outlineLevel="0" collapsed="false"/>
    <row r="20" customFormat="false" ht="18" hidden="false" customHeight="true" outlineLevel="0" collapsed="false"/>
    <row r="21" customFormat="false" ht="18" hidden="false" customHeight="true" outlineLevel="0" collapsed="false"/>
    <row r="22" customFormat="false" ht="18" hidden="false" customHeight="true" outlineLevel="0" collapsed="false"/>
    <row r="23" customFormat="false" ht="18" hidden="false" customHeight="true" outlineLevel="0" collapsed="false"/>
    <row r="24" customFormat="false" ht="6" hidden="false" customHeight="true" outlineLevel="0" collapsed="false"/>
    <row r="25" customFormat="false" ht="19.5" hidden="false" customHeight="true" outlineLevel="0" collapsed="false">
      <c r="B25" s="37" t="s">
        <v>56</v>
      </c>
      <c r="C25" s="37"/>
      <c r="D25" s="37"/>
      <c r="E25" s="37"/>
      <c r="F25" s="37"/>
      <c r="H25" s="38" t="s">
        <v>57</v>
      </c>
      <c r="I25" s="38"/>
      <c r="J25" s="38"/>
      <c r="K25" s="38"/>
      <c r="L25" s="38"/>
      <c r="N25" s="39" t="s">
        <v>58</v>
      </c>
      <c r="O25" s="39"/>
      <c r="P25" s="39"/>
      <c r="Q25" s="39"/>
      <c r="R25" s="39"/>
    </row>
    <row r="26" customFormat="false" ht="18" hidden="false" customHeight="true" outlineLevel="0" collapsed="false">
      <c r="B26" s="40" t="s">
        <v>59</v>
      </c>
      <c r="C26" s="41" t="s">
        <v>60</v>
      </c>
      <c r="D26" s="41" t="s">
        <v>61</v>
      </c>
      <c r="E26" s="41" t="s">
        <v>62</v>
      </c>
      <c r="F26" s="41" t="s">
        <v>63</v>
      </c>
      <c r="H26" s="42" t="s">
        <v>59</v>
      </c>
      <c r="I26" s="43" t="s">
        <v>60</v>
      </c>
      <c r="J26" s="43" t="s">
        <v>61</v>
      </c>
      <c r="K26" s="43" t="s">
        <v>62</v>
      </c>
      <c r="L26" s="43" t="s">
        <v>63</v>
      </c>
      <c r="N26" s="44" t="s">
        <v>59</v>
      </c>
      <c r="O26" s="45" t="s">
        <v>60</v>
      </c>
      <c r="P26" s="45" t="s">
        <v>61</v>
      </c>
      <c r="Q26" s="45" t="s">
        <v>62</v>
      </c>
      <c r="R26" s="45" t="s">
        <v>63</v>
      </c>
    </row>
    <row r="27" customFormat="false" ht="22.5" hidden="false" customHeight="true" outlineLevel="0" collapsed="false">
      <c r="B27" s="46" t="s">
        <v>47</v>
      </c>
      <c r="C27" s="47" t="n">
        <f aca="false">IFERROR(AVERAGEIFS(Data!$L$2:$L$500,Data!$B$2:$B$500,1),"–")</f>
        <v>5.92857142857143</v>
      </c>
      <c r="D27" s="47" t="n">
        <f aca="false">IFERROR(AVERAGEIFS(Data!$L$2:$L$500,Data!$B$2:$B$500,2),"–")</f>
        <v>5.42857142857143</v>
      </c>
      <c r="E27" s="47" t="n">
        <f aca="false">IFERROR(AVERAGEIFS(Data!$L$2:$L$500,Data!$B$2:$B$500,3),"–")</f>
        <v>5.6</v>
      </c>
      <c r="F27" s="48" t="s">
        <v>64</v>
      </c>
      <c r="H27" s="49" t="s">
        <v>5</v>
      </c>
      <c r="I27" s="50" t="str">
        <f aca="false">IFERROR(TEXT(Calc!M2,"0")&amp;" g","–")</f>
        <v>41 g</v>
      </c>
      <c r="J27" s="50" t="str">
        <f aca="false">IFERROR(TEXT(Calc!M3,"0")&amp;" g","–")</f>
        <v>34 g</v>
      </c>
      <c r="K27" s="50" t="str">
        <f aca="false">IFERROR(TEXT(Calc!M4,"0")&amp;" g","–")</f>
        <v>55 g</v>
      </c>
      <c r="L27" s="48" t="s">
        <v>65</v>
      </c>
      <c r="N27" s="51" t="s">
        <v>49</v>
      </c>
      <c r="O27" s="50" t="str">
        <f aca="false">IFERROR(TEXT(Calc!Q2,"#,##0")&amp;" steps","–")</f>
        <v>3,776 steps</v>
      </c>
      <c r="P27" s="50" t="str">
        <f aca="false">IFERROR(TEXT(Calc!Q3,"#,##0")&amp;" steps","–")</f>
        <v>4,347 steps</v>
      </c>
      <c r="Q27" s="50" t="str">
        <f aca="false">IFERROR(TEXT(Calc!Q4,"#,##0")&amp;" steps","–")</f>
        <v>6,309 steps</v>
      </c>
      <c r="R27" s="48" t="s">
        <v>66</v>
      </c>
    </row>
    <row r="28" customFormat="false" ht="22.5" hidden="false" customHeight="true" outlineLevel="0" collapsed="false">
      <c r="B28" s="52" t="s">
        <v>67</v>
      </c>
      <c r="C28" s="50" t="str">
        <f aca="false">IFERROR(TEXT(Calc!F2,"0.0")&amp;" hrs ("&amp;Calc!G2&amp;")","–")</f>
        <v>8.0 hrs (13-Jun)</v>
      </c>
      <c r="D28" s="50" t="str">
        <f aca="false">IFERROR(TEXT(Calc!F3,"0.0")&amp;" hrs ("&amp;Calc!G3&amp;")","–")</f>
        <v>6.0 hrs (10-Jun)</v>
      </c>
      <c r="E28" s="50" t="str">
        <f aca="false">IFERROR(TEXT(Calc!F4,"0.0")&amp;" hrs ("&amp;Calc!G4&amp;")","–")</f>
        <v>7.0 hrs (12-Jun)</v>
      </c>
      <c r="F28" s="48" t="s">
        <v>68</v>
      </c>
      <c r="H28" s="49" t="s">
        <v>6</v>
      </c>
      <c r="I28" s="50" t="str">
        <f aca="false">IFERROR(TEXT(Calc!N2,"0")&amp;" g","–")</f>
        <v>197 g</v>
      </c>
      <c r="J28" s="50" t="str">
        <f aca="false">IFERROR(TEXT(Calc!N3,"0")&amp;" g","–")</f>
        <v>184 g</v>
      </c>
      <c r="K28" s="50" t="str">
        <f aca="false">IFERROR(TEXT(Calc!N4,"0")&amp;" g","–")</f>
        <v>174 g</v>
      </c>
      <c r="L28" s="48" t="s">
        <v>69</v>
      </c>
      <c r="N28" s="53" t="s">
        <v>67</v>
      </c>
      <c r="O28" s="50" t="str">
        <f aca="false">IFERROR(TEXT(Calc!R2,"#,##0")&amp;" steps ("&amp;Calc!S2&amp;")","–")</f>
        <v>4,500 steps (15-Jun)</v>
      </c>
      <c r="P28" s="50" t="str">
        <f aca="false">IFERROR(TEXT(Calc!R3,"#,##0")&amp;" steps ("&amp;Calc!S3&amp;")","–")</f>
        <v>6,957 steps (23-Jun)</v>
      </c>
      <c r="Q28" s="50" t="str">
        <f aca="false">IFERROR(TEXT(Calc!R4,"#,##0")&amp;" steps ("&amp;Calc!S4&amp;")","–")</f>
        <v>10,123 steps (25-Jun)</v>
      </c>
      <c r="R28" s="48" t="s">
        <v>68</v>
      </c>
    </row>
    <row r="29" customFormat="false" ht="22.5" hidden="false" customHeight="true" outlineLevel="0" collapsed="false">
      <c r="B29" s="52" t="s">
        <v>70</v>
      </c>
      <c r="C29" s="50" t="str">
        <f aca="false">IFERROR(TEXT(Calc!H2,"0.0")&amp;" hrs ("&amp;Calc!I2&amp;")","–")</f>
        <v>5.0 hrs (11-Jun)</v>
      </c>
      <c r="D29" s="50" t="str">
        <f aca="false">IFERROR(TEXT(Calc!H3,"0.0")&amp;" hrs ("&amp;Calc!I3&amp;")","–")</f>
        <v>5.0 hrs (11-Jun)</v>
      </c>
      <c r="E29" s="50" t="str">
        <f aca="false">IFERROR(TEXT(Calc!H4,"0.0")&amp;" hrs ("&amp;Calc!I4&amp;")","–")</f>
        <v>5.0 hrs (11-Jun)</v>
      </c>
      <c r="F29" s="48" t="s">
        <v>68</v>
      </c>
      <c r="H29" s="49" t="s">
        <v>7</v>
      </c>
      <c r="I29" s="50" t="str">
        <f aca="false">IFERROR(TEXT(Calc!O2,"0")&amp;" g","–")</f>
        <v>34 g</v>
      </c>
      <c r="J29" s="50" t="str">
        <f aca="false">IFERROR(TEXT(Calc!O3,"0")&amp;" g","–")</f>
        <v>26 g</v>
      </c>
      <c r="K29" s="50" t="str">
        <f aca="false">IFERROR(TEXT(Calc!O4,"0")&amp;" g","–")</f>
        <v>39 g</v>
      </c>
      <c r="L29" s="48" t="s">
        <v>71</v>
      </c>
      <c r="N29" s="53" t="s">
        <v>70</v>
      </c>
      <c r="O29" s="50" t="str">
        <f aca="false">IFERROR(TEXT(Calc!T2,"#,##0")&amp;" steps ("&amp;Calc!U2&amp;")","–")</f>
        <v>3,000 steps (13-Jun)</v>
      </c>
      <c r="P29" s="50" t="str">
        <f aca="false">IFERROR(TEXT(Calc!T3,"#,##0")&amp;" steps ("&amp;Calc!U3&amp;")","–")</f>
        <v>3,037 steps (19-Jun)</v>
      </c>
      <c r="Q29" s="50" t="str">
        <f aca="false">IFERROR(TEXT(Calc!T4,"#,##0")&amp;" steps ("&amp;Calc!U4&amp;")","–")</f>
        <v>3,256 steps (26-Jun)</v>
      </c>
      <c r="R29" s="48" t="s">
        <v>68</v>
      </c>
    </row>
    <row r="30" customFormat="false" ht="22.5" hidden="false" customHeight="true" outlineLevel="0" collapsed="false">
      <c r="B30" s="54" t="s">
        <v>72</v>
      </c>
      <c r="C30" s="50" t="str">
        <f aca="false">COUNTIFS(Data!$L$2:$L$500,"&gt;=5.5",Data!$B$2:$B$500,1)&amp;" of "&amp;COUNTIFS(Data!$B$2:$B$500,1)&amp;" ("&amp;TEXT(IF(COUNTIFS(Data!$B$2:$B$500,1)&gt;0,COUNTIFS(Data!$L$2:$L$500,"&gt;=5.5",Data!$B$2:$B$500,1)/COUNTIFS(Data!$B$2:$B$500,1),0),"0%")&amp;")"</f>
        <v>4 of 7 (57%)</v>
      </c>
      <c r="D30" s="50" t="str">
        <f aca="false">COUNTIFS(Data!$L$2:$L$500,"&gt;=5.5",Data!$B$2:$B$500,2)&amp;" of "&amp;COUNTIFS(Data!$B$2:$B$500,2)&amp;" ("&amp;TEXT(IF(COUNTIFS(Data!$B$2:$B$500,2)&gt;0,COUNTIFS(Data!$L$2:$L$500,"&gt;=5.5",Data!$B$2:$B$500,2)/COUNTIFS(Data!$B$2:$B$500,2),0),"0%")&amp;")"</f>
        <v>3 of 7 (43%)</v>
      </c>
      <c r="E30" s="50" t="str">
        <f aca="false">COUNTIFS(Data!$L$2:$L$500,"&gt;=5.5",Data!$B$2:$B$500,3)&amp;" of "&amp;COUNTIFS(Data!$B$2:$B$500,3)&amp;" ("&amp;TEXT(IF(COUNTIFS(Data!$B$2:$B$500,3)&gt;0,COUNTIFS(Data!$L$2:$L$500,"&gt;=5.5",Data!$B$2:$B$500,3)/COUNTIFS(Data!$B$2:$B$500,3),0),"0%")&amp;")"</f>
        <v>2 of 5 (40%)</v>
      </c>
      <c r="F30" s="48" t="s">
        <v>73</v>
      </c>
      <c r="H30" s="49" t="s">
        <v>8</v>
      </c>
      <c r="I30" s="50" t="str">
        <f aca="false">IFERROR(TEXT(Calc!P2,"0")&amp;" g","–")</f>
        <v>20 g</v>
      </c>
      <c r="J30" s="50" t="str">
        <f aca="false">IFERROR(TEXT(Calc!P3,"0")&amp;" g","–")</f>
        <v>19 g</v>
      </c>
      <c r="K30" s="50" t="str">
        <f aca="false">IFERROR(TEXT(Calc!P4,"0")&amp;" g","–")</f>
        <v>23 g</v>
      </c>
      <c r="L30" s="48" t="s">
        <v>74</v>
      </c>
      <c r="N30" s="51" t="s">
        <v>75</v>
      </c>
      <c r="O30" s="50" t="str">
        <f aca="false">COUNTIFS(Data!$K$2:$K$500,"&gt;=7000",Data!$B$2:$B$500,1)&amp;" of "&amp;COUNTIFS(Data!$B$2:$B$500,1)&amp;" ("&amp;TEXT(IF(COUNTIFS(Data!$B$2:$B$500,1)&gt;0,COUNTIFS(Data!$K$2:$K$500,"&gt;=7000",Data!$B$2:$B$500,1)/COUNTIFS(Data!$B$2:$B$500,1),0),"0%")&amp;")"</f>
        <v>0 of 7 (0%)</v>
      </c>
      <c r="P30" s="50" t="str">
        <f aca="false">COUNTIFS(Data!$K$2:$K$500,"&gt;=7000",Data!$B$2:$B$500,2)&amp;" of "&amp;COUNTIFS(Data!$B$2:$B$500,2)&amp;" ("&amp;TEXT(IF(COUNTIFS(Data!$B$2:$B$500,2)&gt;0,COUNTIFS(Data!$K$2:$K$500,"&gt;=7000",Data!$B$2:$B$500,2)/COUNTIFS(Data!$B$2:$B$500,2),0),"0%")&amp;")"</f>
        <v>0 of 7 (0%)</v>
      </c>
      <c r="Q30" s="50" t="str">
        <f aca="false">COUNTIFS(Data!$K$2:$K$500,"&gt;=7000",Data!$B$2:$B$500,3)&amp;" of "&amp;COUNTIFS(Data!$B$2:$B$500,3)&amp;" ("&amp;TEXT(IF(COUNTIFS(Data!$B$2:$B$500,3)&gt;0,COUNTIFS(Data!$K$2:$K$500,"&gt;=7000",Data!$B$2:$B$500,3)/COUNTIFS(Data!$B$2:$B$500,3),0),"0%")&amp;")"</f>
        <v>1 of 5 (20%)</v>
      </c>
      <c r="R30" s="48" t="s">
        <v>73</v>
      </c>
    </row>
    <row r="31" customFormat="false" ht="22.5" hidden="false" customHeight="true" outlineLevel="0" collapsed="false">
      <c r="H31" s="53" t="s">
        <v>76</v>
      </c>
      <c r="I31" s="50" t="s">
        <v>68</v>
      </c>
      <c r="J31" s="50" t="s">
        <v>68</v>
      </c>
      <c r="K31" s="50" t="s">
        <v>68</v>
      </c>
      <c r="L31" s="48" t="s">
        <v>77</v>
      </c>
      <c r="N31" s="53" t="s">
        <v>78</v>
      </c>
      <c r="O31" s="50" t="str">
        <f aca="false">Calc!X2&amp;" of "&amp;Calc!W2&amp;" days"</f>
        <v>0 of 7 days</v>
      </c>
      <c r="P31" s="50" t="str">
        <f aca="false">Calc!X3&amp;" of "&amp;Calc!W3&amp;" days"</f>
        <v>0 of 7 days</v>
      </c>
      <c r="Q31" s="50" t="str">
        <f aca="false">Calc!X4&amp;" of "&amp;Calc!W4&amp;" days"</f>
        <v>0 of 5 days</v>
      </c>
      <c r="R31" s="48" t="s">
        <v>79</v>
      </c>
    </row>
    <row r="32" customFormat="false" ht="22.5" hidden="false" customHeight="true" outlineLevel="0" collapsed="false">
      <c r="H32" s="53" t="s">
        <v>80</v>
      </c>
      <c r="I32" s="50" t="s">
        <v>68</v>
      </c>
      <c r="J32" s="50" t="s">
        <v>68</v>
      </c>
      <c r="K32" s="50" t="s">
        <v>68</v>
      </c>
      <c r="L32" s="48" t="s">
        <v>77</v>
      </c>
    </row>
    <row r="33" customFormat="false" ht="22.5" hidden="false" customHeight="true" outlineLevel="0" collapsed="false">
      <c r="H33" s="53" t="s">
        <v>81</v>
      </c>
      <c r="I33" s="50" t="s">
        <v>68</v>
      </c>
      <c r="J33" s="50" t="s">
        <v>68</v>
      </c>
      <c r="K33" s="50" t="s">
        <v>68</v>
      </c>
      <c r="L33" s="48" t="s">
        <v>82</v>
      </c>
    </row>
    <row r="34" customFormat="false" ht="18.75" hidden="false" customHeight="true" outlineLevel="0" collapsed="false"/>
    <row r="35" customFormat="false" ht="18.75" hidden="false" customHeight="true" outlineLevel="0" collapsed="false"/>
    <row r="36" customFormat="false" ht="19.5" hidden="false" customHeight="true" outlineLevel="0" collapsed="false">
      <c r="H36" s="38" t="s">
        <v>83</v>
      </c>
      <c r="I36" s="38"/>
      <c r="J36" s="38"/>
      <c r="K36" s="38"/>
      <c r="L36" s="38"/>
    </row>
    <row r="37" customFormat="false" ht="24" hidden="false" customHeight="true" outlineLevel="0" collapsed="false">
      <c r="H37" s="55" t="str">
        <f aca="false">IFERROR(TEXT(AVERAGEIFS(Data!$F$2:$F$500,Data!$B$2:$B$500,"&gt;"&amp;0),"0")&amp;" g","–")</f>
        <v>42 g</v>
      </c>
      <c r="I37" s="55" t="str">
        <f aca="false">IFERROR(TEXT(AVERAGEIFS(Data!$I$2:$I$500,Data!$B$2:$B$500,"&gt;"&amp;0),"0")&amp;" g","–")</f>
        <v>21 g</v>
      </c>
      <c r="J37" s="55" t="s">
        <v>84</v>
      </c>
      <c r="K37" s="55" t="s">
        <v>85</v>
      </c>
      <c r="L37" s="55" t="str">
        <f aca="false">IFERROR(TEXT(AVERAGEIFS(Data!$C$2:$C$500,Data!$B$2:$B$500,"&gt;"&amp;0),"#,##0"),"–")</f>
        <v>1,339</v>
      </c>
    </row>
    <row r="38" customFormat="false" ht="13.5" hidden="false" customHeight="true" outlineLevel="0" collapsed="false">
      <c r="H38" s="56" t="s">
        <v>86</v>
      </c>
      <c r="I38" s="56" t="s">
        <v>87</v>
      </c>
      <c r="J38" s="56" t="s">
        <v>88</v>
      </c>
      <c r="K38" s="56" t="s">
        <v>89</v>
      </c>
      <c r="L38" s="56" t="s">
        <v>90</v>
      </c>
    </row>
    <row r="39" customFormat="false" ht="21.75" hidden="false" customHeight="true" outlineLevel="0" collapsed="false"/>
    <row r="40" customFormat="false" ht="19.5" hidden="false" customHeight="true" outlineLevel="0" collapsed="false">
      <c r="B40" s="57" t="s">
        <v>91</v>
      </c>
      <c r="C40" s="57"/>
      <c r="D40" s="57"/>
      <c r="E40" s="57"/>
      <c r="F40" s="57"/>
      <c r="H40" s="58" t="s">
        <v>92</v>
      </c>
      <c r="I40" s="58"/>
      <c r="J40" s="58"/>
      <c r="K40" s="58"/>
      <c r="L40" s="58"/>
      <c r="N40" s="59" t="s">
        <v>93</v>
      </c>
      <c r="O40" s="59"/>
      <c r="P40" s="59"/>
      <c r="Q40" s="59"/>
      <c r="R40" s="59"/>
    </row>
    <row r="41" customFormat="false" ht="19.5" hidden="false" customHeight="true" outlineLevel="0" collapsed="false">
      <c r="B41" s="60" t="s">
        <v>94</v>
      </c>
      <c r="C41" s="60"/>
      <c r="D41" s="60"/>
      <c r="E41" s="60"/>
      <c r="F41" s="60"/>
      <c r="H41" s="61" t="s">
        <v>95</v>
      </c>
      <c r="I41" s="61"/>
      <c r="J41" s="61"/>
      <c r="K41" s="61"/>
      <c r="L41" s="61"/>
      <c r="N41" s="62" t="s">
        <v>96</v>
      </c>
      <c r="O41" s="62"/>
      <c r="P41" s="62"/>
      <c r="Q41" s="62"/>
      <c r="R41" s="62"/>
    </row>
    <row r="42" customFormat="false" ht="19.5" hidden="false" customHeight="true" outlineLevel="0" collapsed="false">
      <c r="B42" s="63"/>
      <c r="C42" s="63"/>
      <c r="D42" s="63"/>
      <c r="E42" s="63"/>
      <c r="F42" s="63"/>
      <c r="H42" s="64"/>
      <c r="I42" s="64"/>
      <c r="J42" s="64"/>
      <c r="K42" s="64"/>
      <c r="L42" s="64"/>
      <c r="N42" s="65"/>
      <c r="O42" s="65"/>
      <c r="P42" s="65"/>
      <c r="Q42" s="65"/>
      <c r="R42" s="65"/>
    </row>
    <row r="43" customFormat="false" ht="21.75" hidden="false" customHeight="true" outlineLevel="0" collapsed="false"/>
  </sheetData>
  <mergeCells count="21">
    <mergeCell ref="B1:F2"/>
    <mergeCell ref="H1:R2"/>
    <mergeCell ref="B3:F3"/>
    <mergeCell ref="H3:L3"/>
    <mergeCell ref="N3:R3"/>
    <mergeCell ref="B9:F9"/>
    <mergeCell ref="H9:L9"/>
    <mergeCell ref="N9:R9"/>
    <mergeCell ref="B25:F25"/>
    <mergeCell ref="H25:L25"/>
    <mergeCell ref="N25:R25"/>
    <mergeCell ref="H36:L36"/>
    <mergeCell ref="B40:F40"/>
    <mergeCell ref="H40:L40"/>
    <mergeCell ref="N40:R40"/>
    <mergeCell ref="B41:F41"/>
    <mergeCell ref="H41:L41"/>
    <mergeCell ref="N41:R41"/>
    <mergeCell ref="B42:F42"/>
    <mergeCell ref="H42:L42"/>
    <mergeCell ref="N42:R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s>
  <sheetData>
    <row r="1" customFormat="false" ht="30" hidden="false" customHeight="true" outlineLevel="0" collapsed="false">
      <c r="A1" s="9" t="s">
        <v>97</v>
      </c>
      <c r="B1" s="9"/>
    </row>
    <row r="3" customFormat="false" ht="18" hidden="false" customHeight="true" outlineLevel="0" collapsed="false">
      <c r="A3" s="66" t="s">
        <v>98</v>
      </c>
      <c r="B3" s="67" t="s">
        <v>99</v>
      </c>
    </row>
    <row r="4" customFormat="false" ht="18" hidden="false" customHeight="true" outlineLevel="0" collapsed="false">
      <c r="A4" s="66" t="s">
        <v>100</v>
      </c>
      <c r="B4" s="67" t="s">
        <v>101</v>
      </c>
    </row>
    <row r="5" customFormat="false" ht="18" hidden="false" customHeight="true" outlineLevel="0" collapsed="false">
      <c r="A5" s="66" t="s">
        <v>102</v>
      </c>
      <c r="B5" s="67" t="s">
        <v>103</v>
      </c>
    </row>
    <row r="6" customFormat="false" ht="18" hidden="false" customHeight="true" outlineLevel="0" collapsed="false">
      <c r="A6" s="66" t="s">
        <v>104</v>
      </c>
      <c r="B6" s="67" t="n">
        <v>33</v>
      </c>
    </row>
    <row r="7" customFormat="false" ht="18" hidden="false" customHeight="true" outlineLevel="0" collapsed="false">
      <c r="A7" s="66" t="s">
        <v>105</v>
      </c>
      <c r="B7" s="67" t="n">
        <v>164</v>
      </c>
    </row>
    <row r="8" customFormat="false" ht="18" hidden="false" customHeight="true" outlineLevel="0" collapsed="false">
      <c r="A8" s="66" t="s">
        <v>106</v>
      </c>
      <c r="B8" s="67" t="n">
        <v>63</v>
      </c>
    </row>
    <row r="9" customFormat="false" ht="18" hidden="false" customHeight="true" outlineLevel="0" collapsed="false">
      <c r="A9" s="66" t="s">
        <v>107</v>
      </c>
      <c r="B9" s="67" t="n">
        <v>23.4</v>
      </c>
    </row>
    <row r="10" customFormat="false" ht="18" hidden="false" customHeight="true" outlineLevel="0" collapsed="false">
      <c r="A10" s="66" t="s">
        <v>108</v>
      </c>
      <c r="B10" s="67" t="s">
        <v>109</v>
      </c>
    </row>
    <row r="11" customFormat="false" ht="18" hidden="false" customHeight="true" outlineLevel="0" collapsed="false">
      <c r="A11" s="66" t="s">
        <v>110</v>
      </c>
      <c r="B11" s="67" t="s">
        <v>111</v>
      </c>
    </row>
    <row r="13" customFormat="false" ht="21.75" hidden="false" customHeight="true" outlineLevel="0" collapsed="false">
      <c r="A13" s="68" t="s">
        <v>112</v>
      </c>
      <c r="B13" s="68"/>
    </row>
    <row r="14" customFormat="false" ht="15" hidden="false" customHeight="false" outlineLevel="0" collapsed="false">
      <c r="A14" s="66" t="s">
        <v>113</v>
      </c>
      <c r="B14" s="67" t="s">
        <v>114</v>
      </c>
    </row>
    <row r="15" customFormat="false" ht="15" hidden="false" customHeight="false" outlineLevel="0" collapsed="false">
      <c r="A15" s="66" t="s">
        <v>115</v>
      </c>
      <c r="B15" s="67" t="s">
        <v>116</v>
      </c>
    </row>
    <row r="16" customFormat="false" ht="15" hidden="false" customHeight="false" outlineLevel="0" collapsed="false">
      <c r="A16" s="66" t="s">
        <v>117</v>
      </c>
      <c r="B16" s="67" t="s">
        <v>118</v>
      </c>
    </row>
    <row r="17" customFormat="false" ht="15" hidden="false" customHeight="false" outlineLevel="0" collapsed="false">
      <c r="A17" s="66" t="s">
        <v>119</v>
      </c>
      <c r="B17" s="67" t="s">
        <v>120</v>
      </c>
    </row>
  </sheetData>
  <mergeCells count="2">
    <mergeCell ref="A1:B1"/>
    <mergeCell ref="A13: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2026-07-04T08:22:56Z</dcterms:created>
  <dc:creator>openpyxl</dc:creator>
  <dc:description/>
  <dc:language>en-US</dc:language>
  <cp:lastModifiedBy/>
  <dcterms:modified xsi:type="dcterms:W3CDTF">2026-07-04T08:23:03Z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